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onhiroki/Library/CloudStorage/GoogleDrive-bestinksalesman@gmail.com/マイドライブ/KIRII/ISO/2000 Version/Customer Satisfaction Survey/"/>
    </mc:Choice>
  </mc:AlternateContent>
  <xr:revisionPtr revIDLastSave="0" documentId="13_ncr:1_{E48894CE-9753-044E-ABA7-CEBBF67EEC32}" xr6:coauthVersionLast="47" xr6:coauthVersionMax="47" xr10:uidLastSave="{00000000-0000-0000-0000-000000000000}"/>
  <bookViews>
    <workbookView xWindow="1920" yWindow="760" windowWidth="19400" windowHeight="11480" xr2:uid="{00000000-000D-0000-FFFF-FFFF00000000}"/>
  </bookViews>
  <sheets>
    <sheet name="9-2025" sheetId="22" r:id="rId1"/>
    <sheet name="9-2024" sheetId="21" r:id="rId2"/>
    <sheet name="8-2023" sheetId="20" r:id="rId3"/>
    <sheet name="7-2022" sheetId="19" r:id="rId4"/>
    <sheet name="Blank" sheetId="13" r:id="rId5"/>
    <sheet name="7-2021" sheetId="18" r:id="rId6"/>
    <sheet name="7-2019" sheetId="17" r:id="rId7"/>
    <sheet name="7-2018" sheetId="16" r:id="rId8"/>
    <sheet name="7-2016" sheetId="15" r:id="rId9"/>
    <sheet name="7-2015" sheetId="14" r:id="rId10"/>
    <sheet name="7-2014" sheetId="11" r:id="rId11"/>
    <sheet name="7-2013" sheetId="9" r:id="rId12"/>
    <sheet name="7-2012" sheetId="8" r:id="rId13"/>
    <sheet name="7-2011" sheetId="7" r:id="rId14"/>
    <sheet name="7-2009" sheetId="6" r:id="rId15"/>
    <sheet name="7-2006" sheetId="5" r:id="rId16"/>
    <sheet name="7-2005" sheetId="1" r:id="rId17"/>
  </sheets>
  <externalReferences>
    <externalReference r:id="rId18"/>
    <externalReference r:id="rId19"/>
  </externalReferences>
  <definedNames>
    <definedName name="_xlnm._FilterDatabase" localSheetId="3" hidden="1">'7-2022'!$D$57:$L$65</definedName>
    <definedName name="_xlnm.Print_Titles" localSheetId="16">'7-2005'!$1:$3</definedName>
    <definedName name="_xlnm.Print_Titles" localSheetId="15">'7-2006'!$1:$1</definedName>
    <definedName name="_xlnm.Print_Titles" localSheetId="14">'7-2009'!$1:$1</definedName>
    <definedName name="_xlnm.Print_Titles" localSheetId="13">'7-2011'!$1:$1</definedName>
    <definedName name="_xlnm.Print_Titles" localSheetId="12">'7-2012'!$1:$1</definedName>
    <definedName name="_xlnm.Print_Titles" localSheetId="11">'7-2013'!$1:$1</definedName>
    <definedName name="_xlnm.Print_Titles" localSheetId="10">'7-2014'!$1:$1</definedName>
    <definedName name="_xlnm.Print_Titles" localSheetId="9">'7-2015'!$1:$1</definedName>
    <definedName name="_xlnm.Print_Titles" localSheetId="8">'7-2016'!$1:$1</definedName>
    <definedName name="_xlnm.Print_Titles" localSheetId="7">'7-2018'!$1:$1</definedName>
    <definedName name="_xlnm.Print_Titles" localSheetId="6">'7-2019'!$1:$1</definedName>
    <definedName name="_xlnm.Print_Titles" localSheetId="5">'7-2021'!$1:$1</definedName>
    <definedName name="_xlnm.Print_Titles" localSheetId="3">'7-2022'!$1:$1</definedName>
    <definedName name="_xlnm.Print_Titles" localSheetId="4">Blank!$1:$1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22" l="1"/>
  <c r="H69" i="22"/>
  <c r="G69" i="22"/>
  <c r="M68" i="22"/>
  <c r="M69" i="22" s="1"/>
  <c r="L68" i="22"/>
  <c r="AB11" i="22" s="1"/>
  <c r="K68" i="22"/>
  <c r="K69" i="22" s="1"/>
  <c r="J68" i="22"/>
  <c r="AB9" i="22" s="1"/>
  <c r="I68" i="22"/>
  <c r="H68" i="22"/>
  <c r="G68" i="22"/>
  <c r="F68" i="22"/>
  <c r="M67" i="22"/>
  <c r="L67" i="22"/>
  <c r="K67" i="22"/>
  <c r="J67" i="22"/>
  <c r="I67" i="22"/>
  <c r="H67" i="22"/>
  <c r="G67" i="22"/>
  <c r="F67" i="22"/>
  <c r="N67" i="22" s="1"/>
  <c r="M64" i="22"/>
  <c r="L64" i="22"/>
  <c r="K64" i="22"/>
  <c r="Q10" i="22" s="1"/>
  <c r="J64" i="22"/>
  <c r="Q9" i="22" s="1"/>
  <c r="I64" i="22"/>
  <c r="H64" i="22"/>
  <c r="Q7" i="22" s="1"/>
  <c r="G64" i="22"/>
  <c r="Q6" i="22" s="1"/>
  <c r="F64" i="22"/>
  <c r="M63" i="22"/>
  <c r="L63" i="22"/>
  <c r="K63" i="22"/>
  <c r="J63" i="22"/>
  <c r="R9" i="22" s="1"/>
  <c r="I63" i="22"/>
  <c r="H63" i="22"/>
  <c r="G63" i="22"/>
  <c r="R6" i="22" s="1"/>
  <c r="F63" i="22"/>
  <c r="M62" i="22"/>
  <c r="S12" i="22" s="1"/>
  <c r="L62" i="22"/>
  <c r="K62" i="22"/>
  <c r="S10" i="22" s="1"/>
  <c r="J62" i="22"/>
  <c r="I62" i="22"/>
  <c r="S8" i="22" s="1"/>
  <c r="H62" i="22"/>
  <c r="G62" i="22"/>
  <c r="F62" i="22"/>
  <c r="M61" i="22"/>
  <c r="L61" i="22"/>
  <c r="K61" i="22"/>
  <c r="T10" i="22" s="1"/>
  <c r="J61" i="22"/>
  <c r="I61" i="22"/>
  <c r="H61" i="22"/>
  <c r="T7" i="22" s="1"/>
  <c r="G61" i="22"/>
  <c r="T6" i="22" s="1"/>
  <c r="F61" i="22"/>
  <c r="M60" i="22"/>
  <c r="L60" i="22"/>
  <c r="U11" i="22" s="1"/>
  <c r="K60" i="22"/>
  <c r="U10" i="22" s="1"/>
  <c r="J60" i="22"/>
  <c r="I60" i="22"/>
  <c r="H60" i="22"/>
  <c r="G60" i="22"/>
  <c r="F60" i="22"/>
  <c r="M59" i="22"/>
  <c r="L59" i="22"/>
  <c r="V11" i="22" s="1"/>
  <c r="K59" i="22"/>
  <c r="V10" i="22" s="1"/>
  <c r="J59" i="22"/>
  <c r="V9" i="22" s="1"/>
  <c r="I59" i="22"/>
  <c r="V8" i="22" s="1"/>
  <c r="H59" i="22"/>
  <c r="V7" i="22" s="1"/>
  <c r="G59" i="22"/>
  <c r="F59" i="22"/>
  <c r="V5" i="22" s="1"/>
  <c r="M58" i="22"/>
  <c r="W12" i="22" s="1"/>
  <c r="L58" i="22"/>
  <c r="L65" i="22" s="1"/>
  <c r="K58" i="22"/>
  <c r="K65" i="22" s="1"/>
  <c r="J58" i="22"/>
  <c r="J65" i="22" s="1"/>
  <c r="I58" i="22"/>
  <c r="I65" i="22" s="1"/>
  <c r="H58" i="22"/>
  <c r="H65" i="22" s="1"/>
  <c r="G58" i="22"/>
  <c r="G65" i="22" s="1"/>
  <c r="F58" i="22"/>
  <c r="F65" i="22" s="1"/>
  <c r="E55" i="22"/>
  <c r="D55" i="22"/>
  <c r="M54" i="22"/>
  <c r="L54" i="22"/>
  <c r="K54" i="22"/>
  <c r="J54" i="22"/>
  <c r="I54" i="22"/>
  <c r="H54" i="22"/>
  <c r="G54" i="22"/>
  <c r="F54" i="22"/>
  <c r="E54" i="22"/>
  <c r="D54" i="22"/>
  <c r="V12" i="22"/>
  <c r="U12" i="22"/>
  <c r="T12" i="22"/>
  <c r="R12" i="22"/>
  <c r="Q12" i="22"/>
  <c r="W11" i="22"/>
  <c r="T11" i="22"/>
  <c r="S11" i="22"/>
  <c r="R11" i="22"/>
  <c r="Q11" i="22"/>
  <c r="W10" i="22"/>
  <c r="R10" i="22"/>
  <c r="W9" i="22"/>
  <c r="U9" i="22"/>
  <c r="T9" i="22"/>
  <c r="S9" i="22"/>
  <c r="AB8" i="22"/>
  <c r="W8" i="22"/>
  <c r="U8" i="22"/>
  <c r="T8" i="22"/>
  <c r="R8" i="22"/>
  <c r="Q8" i="22"/>
  <c r="AB7" i="22"/>
  <c r="U7" i="22"/>
  <c r="S7" i="22"/>
  <c r="R7" i="22"/>
  <c r="AB6" i="22"/>
  <c r="W6" i="22"/>
  <c r="V6" i="22"/>
  <c r="U6" i="22"/>
  <c r="S6" i="22"/>
  <c r="AB5" i="22"/>
  <c r="Z5" i="22"/>
  <c r="W5" i="22"/>
  <c r="U5" i="22"/>
  <c r="T5" i="22"/>
  <c r="T13" i="22" s="1"/>
  <c r="S5" i="22"/>
  <c r="S13" i="22" s="1"/>
  <c r="R5" i="22"/>
  <c r="R13" i="22" s="1"/>
  <c r="Q5" i="22"/>
  <c r="Q13" i="22" s="1"/>
  <c r="P1" i="22"/>
  <c r="AA12" i="21"/>
  <c r="AA11" i="21"/>
  <c r="AA10" i="21"/>
  <c r="AA9" i="21"/>
  <c r="AA8" i="21"/>
  <c r="AA7" i="21"/>
  <c r="AA6" i="21"/>
  <c r="AA5" i="21"/>
  <c r="Y5" i="21"/>
  <c r="E68" i="21"/>
  <c r="F68" i="21"/>
  <c r="G68" i="21"/>
  <c r="G69" i="21" s="1"/>
  <c r="H68" i="21"/>
  <c r="I68" i="21"/>
  <c r="J68" i="21"/>
  <c r="K68" i="21"/>
  <c r="L68" i="21"/>
  <c r="E65" i="21"/>
  <c r="U5" i="21"/>
  <c r="W5" i="21" s="1"/>
  <c r="L67" i="21"/>
  <c r="P5" i="21"/>
  <c r="E67" i="21"/>
  <c r="M67" i="21"/>
  <c r="L65" i="21"/>
  <c r="K65" i="21"/>
  <c r="J65" i="21"/>
  <c r="I65" i="21"/>
  <c r="H65" i="21"/>
  <c r="G65" i="21"/>
  <c r="F65" i="21"/>
  <c r="D54" i="21"/>
  <c r="D55" i="21" s="1"/>
  <c r="C54" i="21"/>
  <c r="G67" i="21" s="1"/>
  <c r="V12" i="21"/>
  <c r="U12" i="21"/>
  <c r="T12" i="21"/>
  <c r="S12" i="21"/>
  <c r="R12" i="21"/>
  <c r="Q12" i="21"/>
  <c r="P12" i="21"/>
  <c r="V11" i="21"/>
  <c r="U11" i="21"/>
  <c r="T11" i="21"/>
  <c r="S11" i="21"/>
  <c r="R11" i="21"/>
  <c r="Q11" i="21"/>
  <c r="P11" i="21"/>
  <c r="V10" i="21"/>
  <c r="U10" i="21"/>
  <c r="T10" i="21"/>
  <c r="S10" i="21"/>
  <c r="R10" i="21"/>
  <c r="Q10" i="21"/>
  <c r="P10" i="21"/>
  <c r="V9" i="21"/>
  <c r="U9" i="21"/>
  <c r="T9" i="21"/>
  <c r="S9" i="21"/>
  <c r="R9" i="21"/>
  <c r="Q9" i="21"/>
  <c r="P9" i="21"/>
  <c r="V8" i="21"/>
  <c r="U8" i="21"/>
  <c r="T8" i="21"/>
  <c r="W8" i="21" s="1"/>
  <c r="S8" i="21"/>
  <c r="R8" i="21"/>
  <c r="Q8" i="21"/>
  <c r="P8" i="21"/>
  <c r="V7" i="21"/>
  <c r="U7" i="21"/>
  <c r="T7" i="21"/>
  <c r="S7" i="21"/>
  <c r="R7" i="21"/>
  <c r="Q7" i="21"/>
  <c r="P7" i="21"/>
  <c r="V6" i="21"/>
  <c r="U6" i="21"/>
  <c r="T6" i="21"/>
  <c r="S6" i="21"/>
  <c r="R6" i="21"/>
  <c r="Q6" i="21"/>
  <c r="P6" i="21"/>
  <c r="W6" i="21" s="1"/>
  <c r="V5" i="21"/>
  <c r="T5" i="21"/>
  <c r="S5" i="21"/>
  <c r="R5" i="21"/>
  <c r="Q5" i="21"/>
  <c r="Q13" i="21" s="1"/>
  <c r="P13" i="21"/>
  <c r="O1" i="21"/>
  <c r="L69" i="20"/>
  <c r="M68" i="20"/>
  <c r="L68" i="20"/>
  <c r="K68" i="20"/>
  <c r="J68" i="20"/>
  <c r="I68" i="20"/>
  <c r="H68" i="20"/>
  <c r="H69" i="20" s="1"/>
  <c r="G68" i="20"/>
  <c r="G69" i="20" s="1"/>
  <c r="F68" i="20"/>
  <c r="F69" i="20" s="1"/>
  <c r="E68" i="20"/>
  <c r="E69" i="20" s="1"/>
  <c r="L67" i="20"/>
  <c r="H67" i="20"/>
  <c r="G67" i="20"/>
  <c r="F67" i="20"/>
  <c r="L65" i="20"/>
  <c r="K65" i="20"/>
  <c r="J65" i="20"/>
  <c r="I65" i="20"/>
  <c r="H65" i="20"/>
  <c r="G65" i="20"/>
  <c r="F65" i="20"/>
  <c r="E65" i="20"/>
  <c r="D55" i="20"/>
  <c r="D54" i="20"/>
  <c r="C54" i="20"/>
  <c r="E67" i="20" s="1"/>
  <c r="V12" i="20"/>
  <c r="U12" i="20"/>
  <c r="T12" i="20"/>
  <c r="S12" i="20"/>
  <c r="R12" i="20"/>
  <c r="Q12" i="20"/>
  <c r="P12" i="20"/>
  <c r="AA12" i="20" s="1"/>
  <c r="V11" i="20"/>
  <c r="U11" i="20"/>
  <c r="T11" i="20"/>
  <c r="S11" i="20"/>
  <c r="R11" i="20"/>
  <c r="Q11" i="20"/>
  <c r="P11" i="20"/>
  <c r="AA11" i="20" s="1"/>
  <c r="V10" i="20"/>
  <c r="U10" i="20"/>
  <c r="T10" i="20"/>
  <c r="S10" i="20"/>
  <c r="R10" i="20"/>
  <c r="Q10" i="20"/>
  <c r="P10" i="20"/>
  <c r="V9" i="20"/>
  <c r="U9" i="20"/>
  <c r="T9" i="20"/>
  <c r="T22" i="20" s="1"/>
  <c r="S9" i="20"/>
  <c r="R9" i="20"/>
  <c r="Q9" i="20"/>
  <c r="Q22" i="20" s="1"/>
  <c r="P9" i="20"/>
  <c r="W9" i="20" s="1"/>
  <c r="V8" i="20"/>
  <c r="U8" i="20"/>
  <c r="T8" i="20"/>
  <c r="S8" i="20"/>
  <c r="R8" i="20"/>
  <c r="Q8" i="20"/>
  <c r="P8" i="20"/>
  <c r="AA8" i="20" s="1"/>
  <c r="V7" i="20"/>
  <c r="U7" i="20"/>
  <c r="T7" i="20"/>
  <c r="S7" i="20"/>
  <c r="R7" i="20"/>
  <c r="Q7" i="20"/>
  <c r="P7" i="20"/>
  <c r="AA7" i="20" s="1"/>
  <c r="V6" i="20"/>
  <c r="U6" i="20"/>
  <c r="T6" i="20"/>
  <c r="S6" i="20"/>
  <c r="R6" i="20"/>
  <c r="Q6" i="20"/>
  <c r="P6" i="20"/>
  <c r="V5" i="20"/>
  <c r="V13" i="20" s="1"/>
  <c r="U5" i="20"/>
  <c r="U13" i="20" s="1"/>
  <c r="T5" i="20"/>
  <c r="S5" i="20"/>
  <c r="S13" i="20" s="1"/>
  <c r="R5" i="20"/>
  <c r="Q5" i="20"/>
  <c r="Q13" i="20" s="1"/>
  <c r="P5" i="20"/>
  <c r="W5" i="20" s="1"/>
  <c r="O1" i="20"/>
  <c r="L68" i="19"/>
  <c r="K68" i="19"/>
  <c r="J68" i="19"/>
  <c r="I68" i="19"/>
  <c r="H68" i="19"/>
  <c r="G68" i="19"/>
  <c r="F68" i="19"/>
  <c r="E68" i="19"/>
  <c r="L65" i="19"/>
  <c r="K65" i="19"/>
  <c r="J65" i="19"/>
  <c r="I65" i="19"/>
  <c r="H65" i="19"/>
  <c r="G65" i="19"/>
  <c r="F65" i="19"/>
  <c r="E65" i="19"/>
  <c r="D54" i="19"/>
  <c r="D55" i="19" s="1"/>
  <c r="C54" i="19"/>
  <c r="F67" i="19" s="1"/>
  <c r="V12" i="19"/>
  <c r="U12" i="19"/>
  <c r="T12" i="19"/>
  <c r="S12" i="19"/>
  <c r="R12" i="19"/>
  <c r="Q12" i="19"/>
  <c r="P12" i="19"/>
  <c r="V11" i="19"/>
  <c r="U11" i="19"/>
  <c r="T11" i="19"/>
  <c r="S11" i="19"/>
  <c r="R11" i="19"/>
  <c r="Q11" i="19"/>
  <c r="P11" i="19"/>
  <c r="V10" i="19"/>
  <c r="U10" i="19"/>
  <c r="T10" i="19"/>
  <c r="S10" i="19"/>
  <c r="R10" i="19"/>
  <c r="Q10" i="19"/>
  <c r="P10" i="19"/>
  <c r="V9" i="19"/>
  <c r="U9" i="19"/>
  <c r="T9" i="19"/>
  <c r="S9" i="19"/>
  <c r="R9" i="19"/>
  <c r="Q9" i="19"/>
  <c r="P9" i="19"/>
  <c r="V8" i="19"/>
  <c r="U8" i="19"/>
  <c r="T8" i="19"/>
  <c r="S8" i="19"/>
  <c r="R8" i="19"/>
  <c r="Q8" i="19"/>
  <c r="P8" i="19"/>
  <c r="V7" i="19"/>
  <c r="U7" i="19"/>
  <c r="T7" i="19"/>
  <c r="S7" i="19"/>
  <c r="R7" i="19"/>
  <c r="Q7" i="19"/>
  <c r="P7" i="19"/>
  <c r="V6" i="19"/>
  <c r="U6" i="19"/>
  <c r="T6" i="19"/>
  <c r="S6" i="19"/>
  <c r="R6" i="19"/>
  <c r="Q6" i="19"/>
  <c r="P6" i="19"/>
  <c r="V5" i="19"/>
  <c r="U5" i="19"/>
  <c r="T5" i="19"/>
  <c r="S5" i="19"/>
  <c r="R5" i="19"/>
  <c r="Q5" i="19"/>
  <c r="P5" i="19"/>
  <c r="P13" i="19" s="1"/>
  <c r="O1" i="19"/>
  <c r="P5" i="18"/>
  <c r="Q5" i="18"/>
  <c r="R5" i="18"/>
  <c r="S5" i="18"/>
  <c r="T5" i="18"/>
  <c r="U5" i="18"/>
  <c r="V5" i="18"/>
  <c r="P6" i="18"/>
  <c r="Q6" i="18"/>
  <c r="R6" i="18"/>
  <c r="S6" i="18"/>
  <c r="T6" i="18"/>
  <c r="U6" i="18"/>
  <c r="V6" i="18"/>
  <c r="P7" i="18"/>
  <c r="Q7" i="18"/>
  <c r="R7" i="18"/>
  <c r="S7" i="18"/>
  <c r="T7" i="18"/>
  <c r="U7" i="18"/>
  <c r="V7" i="18"/>
  <c r="P8" i="18"/>
  <c r="Q8" i="18"/>
  <c r="R8" i="18"/>
  <c r="S8" i="18"/>
  <c r="T8" i="18"/>
  <c r="U8" i="18"/>
  <c r="AA8" i="18" s="1"/>
  <c r="V8" i="18"/>
  <c r="P9" i="18"/>
  <c r="Q9" i="18"/>
  <c r="R9" i="18"/>
  <c r="S9" i="18"/>
  <c r="T9" i="18"/>
  <c r="U9" i="18"/>
  <c r="V9" i="18"/>
  <c r="P10" i="18"/>
  <c r="Q10" i="18"/>
  <c r="R10" i="18"/>
  <c r="S10" i="18"/>
  <c r="T10" i="18"/>
  <c r="U10" i="18"/>
  <c r="V10" i="18"/>
  <c r="P11" i="18"/>
  <c r="Q11" i="18"/>
  <c r="R11" i="18"/>
  <c r="S11" i="18"/>
  <c r="T11" i="18"/>
  <c r="U11" i="18"/>
  <c r="V11" i="18"/>
  <c r="P12" i="18"/>
  <c r="Q12" i="18"/>
  <c r="R12" i="18"/>
  <c r="S12" i="18"/>
  <c r="T12" i="18"/>
  <c r="U12" i="18"/>
  <c r="V12" i="18"/>
  <c r="L68" i="18"/>
  <c r="K68" i="18"/>
  <c r="J68" i="18"/>
  <c r="I68" i="18"/>
  <c r="H68" i="18"/>
  <c r="G68" i="18"/>
  <c r="F68" i="18"/>
  <c r="E68" i="18"/>
  <c r="L65" i="18"/>
  <c r="K65" i="18"/>
  <c r="J65" i="18"/>
  <c r="I65" i="18"/>
  <c r="H65" i="18"/>
  <c r="G65" i="18"/>
  <c r="F65" i="18"/>
  <c r="E65" i="18"/>
  <c r="D54" i="18"/>
  <c r="D55" i="18" s="1"/>
  <c r="C54" i="18"/>
  <c r="K67" i="18" s="1"/>
  <c r="O1" i="18"/>
  <c r="V13" i="22" l="1"/>
  <c r="X9" i="22"/>
  <c r="Z9" i="22" s="1"/>
  <c r="S24" i="22"/>
  <c r="X10" i="22"/>
  <c r="R24" i="22"/>
  <c r="S23" i="22"/>
  <c r="W18" i="22"/>
  <c r="X8" i="22"/>
  <c r="S21" i="22"/>
  <c r="X6" i="22"/>
  <c r="X12" i="22"/>
  <c r="V22" i="22"/>
  <c r="S25" i="22"/>
  <c r="R19" i="22"/>
  <c r="U18" i="22"/>
  <c r="V21" i="22"/>
  <c r="S19" i="22"/>
  <c r="U25" i="22"/>
  <c r="T22" i="22"/>
  <c r="T23" i="22"/>
  <c r="R21" i="22"/>
  <c r="S22" i="22"/>
  <c r="V24" i="22"/>
  <c r="Q18" i="22"/>
  <c r="Q25" i="22"/>
  <c r="R18" i="22"/>
  <c r="U13" i="22"/>
  <c r="AB10" i="22"/>
  <c r="N68" i="22"/>
  <c r="N69" i="22" s="1"/>
  <c r="F69" i="22"/>
  <c r="M65" i="22"/>
  <c r="J69" i="22"/>
  <c r="X5" i="22"/>
  <c r="X11" i="22"/>
  <c r="Z11" i="22" s="1"/>
  <c r="Q21" i="22"/>
  <c r="L69" i="22"/>
  <c r="AB12" i="22"/>
  <c r="AB13" i="22" s="1"/>
  <c r="W7" i="22"/>
  <c r="AA13" i="21"/>
  <c r="AA15" i="21" s="1"/>
  <c r="W10" i="21"/>
  <c r="U21" i="21"/>
  <c r="V21" i="21"/>
  <c r="U19" i="21"/>
  <c r="T19" i="21"/>
  <c r="U13" i="21"/>
  <c r="T13" i="21"/>
  <c r="M68" i="21"/>
  <c r="M69" i="21" s="1"/>
  <c r="H67" i="21"/>
  <c r="H69" i="21" s="1"/>
  <c r="V23" i="21"/>
  <c r="Y10" i="21"/>
  <c r="V19" i="21"/>
  <c r="Y6" i="21"/>
  <c r="T23" i="21"/>
  <c r="Q19" i="21"/>
  <c r="U23" i="21"/>
  <c r="U20" i="21"/>
  <c r="Q23" i="21"/>
  <c r="R23" i="21"/>
  <c r="S23" i="21"/>
  <c r="R19" i="21"/>
  <c r="P21" i="21"/>
  <c r="S21" i="21"/>
  <c r="Y8" i="21"/>
  <c r="R21" i="21"/>
  <c r="Q21" i="21"/>
  <c r="S19" i="21"/>
  <c r="R13" i="21"/>
  <c r="W7" i="21"/>
  <c r="V20" i="21" s="1"/>
  <c r="P19" i="21"/>
  <c r="W12" i="21"/>
  <c r="W9" i="21"/>
  <c r="U22" i="21" s="1"/>
  <c r="T21" i="21"/>
  <c r="F67" i="21"/>
  <c r="F69" i="21" s="1"/>
  <c r="W11" i="21"/>
  <c r="U24" i="21" s="1"/>
  <c r="S13" i="21"/>
  <c r="P23" i="21"/>
  <c r="I67" i="21"/>
  <c r="I69" i="21" s="1"/>
  <c r="J67" i="21"/>
  <c r="J69" i="21" s="1"/>
  <c r="C55" i="21"/>
  <c r="K67" i="21"/>
  <c r="K69" i="21" s="1"/>
  <c r="V13" i="21"/>
  <c r="L69" i="21"/>
  <c r="Q20" i="20"/>
  <c r="R18" i="20"/>
  <c r="T19" i="20"/>
  <c r="P23" i="20"/>
  <c r="Q24" i="20"/>
  <c r="R25" i="20"/>
  <c r="T18" i="20"/>
  <c r="S22" i="20"/>
  <c r="V22" i="20"/>
  <c r="U22" i="20"/>
  <c r="Y9" i="20"/>
  <c r="T23" i="20"/>
  <c r="W13" i="20"/>
  <c r="W15" i="20" s="1"/>
  <c r="S18" i="20"/>
  <c r="Y5" i="20"/>
  <c r="V18" i="20"/>
  <c r="U18" i="20"/>
  <c r="R19" i="20"/>
  <c r="R23" i="20"/>
  <c r="T25" i="20"/>
  <c r="K69" i="20"/>
  <c r="Q19" i="20"/>
  <c r="V19" i="20"/>
  <c r="Q21" i="20"/>
  <c r="R22" i="20"/>
  <c r="T24" i="20"/>
  <c r="W6" i="20"/>
  <c r="W10" i="20"/>
  <c r="R13" i="20"/>
  <c r="AA6" i="20"/>
  <c r="AA10" i="20"/>
  <c r="P18" i="20"/>
  <c r="W18" i="20" s="1"/>
  <c r="P22" i="20"/>
  <c r="I67" i="20"/>
  <c r="I69" i="20" s="1"/>
  <c r="T13" i="20"/>
  <c r="Q18" i="20"/>
  <c r="J67" i="20"/>
  <c r="J69" i="20" s="1"/>
  <c r="AA5" i="20"/>
  <c r="AA13" i="20" s="1"/>
  <c r="AA9" i="20"/>
  <c r="W7" i="20"/>
  <c r="T20" i="20" s="1"/>
  <c r="W11" i="20"/>
  <c r="R24" i="20" s="1"/>
  <c r="W8" i="20"/>
  <c r="W12" i="20"/>
  <c r="C55" i="20"/>
  <c r="K67" i="20"/>
  <c r="P13" i="20"/>
  <c r="P15" i="20" s="1"/>
  <c r="W10" i="19"/>
  <c r="T23" i="19" s="1"/>
  <c r="W9" i="19"/>
  <c r="P22" i="19" s="1"/>
  <c r="AA8" i="19"/>
  <c r="AA7" i="19"/>
  <c r="W6" i="19"/>
  <c r="T19" i="19" s="1"/>
  <c r="V13" i="19"/>
  <c r="W5" i="19"/>
  <c r="R18" i="19" s="1"/>
  <c r="U19" i="19"/>
  <c r="AA11" i="19"/>
  <c r="AA12" i="19"/>
  <c r="R19" i="19"/>
  <c r="W12" i="19"/>
  <c r="P25" i="19" s="1"/>
  <c r="M68" i="19"/>
  <c r="E67" i="19"/>
  <c r="E69" i="19" s="1"/>
  <c r="G67" i="19"/>
  <c r="G69" i="19" s="1"/>
  <c r="F69" i="19"/>
  <c r="H67" i="19"/>
  <c r="H69" i="19" s="1"/>
  <c r="J67" i="19"/>
  <c r="J69" i="19" s="1"/>
  <c r="R25" i="19"/>
  <c r="T25" i="19"/>
  <c r="U25" i="19"/>
  <c r="AA9" i="19"/>
  <c r="Q13" i="19"/>
  <c r="V19" i="19"/>
  <c r="R13" i="19"/>
  <c r="AA6" i="19"/>
  <c r="W7" i="19"/>
  <c r="R20" i="19" s="1"/>
  <c r="AA10" i="19"/>
  <c r="W11" i="19"/>
  <c r="U24" i="19" s="1"/>
  <c r="S13" i="19"/>
  <c r="I67" i="19"/>
  <c r="AA5" i="19"/>
  <c r="Y6" i="19"/>
  <c r="W8" i="19"/>
  <c r="U21" i="19" s="1"/>
  <c r="U13" i="19"/>
  <c r="C55" i="19"/>
  <c r="K67" i="19"/>
  <c r="K69" i="19" s="1"/>
  <c r="T13" i="19"/>
  <c r="L67" i="19"/>
  <c r="L69" i="19" s="1"/>
  <c r="W11" i="18"/>
  <c r="T13" i="18"/>
  <c r="S13" i="18"/>
  <c r="R13" i="18"/>
  <c r="W12" i="18"/>
  <c r="Q13" i="18"/>
  <c r="P13" i="18"/>
  <c r="W10" i="18"/>
  <c r="Y10" i="18" s="1"/>
  <c r="V13" i="18"/>
  <c r="U13" i="18"/>
  <c r="W9" i="18"/>
  <c r="Y9" i="18" s="1"/>
  <c r="W8" i="18"/>
  <c r="Y8" i="18" s="1"/>
  <c r="W7" i="18"/>
  <c r="S20" i="18" s="1"/>
  <c r="W6" i="18"/>
  <c r="Y6" i="18" s="1"/>
  <c r="M68" i="18"/>
  <c r="K69" i="18"/>
  <c r="H67" i="18"/>
  <c r="H69" i="18" s="1"/>
  <c r="AA10" i="18"/>
  <c r="AA6" i="18"/>
  <c r="W5" i="18"/>
  <c r="AA12" i="18"/>
  <c r="AA9" i="18"/>
  <c r="Y11" i="18"/>
  <c r="AA11" i="18"/>
  <c r="P18" i="18"/>
  <c r="AA5" i="18"/>
  <c r="Y12" i="18"/>
  <c r="AA7" i="18"/>
  <c r="L67" i="18"/>
  <c r="L69" i="18" s="1"/>
  <c r="S18" i="18"/>
  <c r="Q18" i="18"/>
  <c r="E67" i="18"/>
  <c r="I67" i="18"/>
  <c r="I69" i="18" s="1"/>
  <c r="F67" i="18"/>
  <c r="F69" i="18" s="1"/>
  <c r="J67" i="18"/>
  <c r="J69" i="18" s="1"/>
  <c r="C55" i="18"/>
  <c r="G67" i="18"/>
  <c r="G69" i="18" s="1"/>
  <c r="D54" i="17"/>
  <c r="D55" i="17" s="1"/>
  <c r="C54" i="17"/>
  <c r="G67" i="17" s="1"/>
  <c r="F67" i="17"/>
  <c r="L68" i="17"/>
  <c r="K68" i="17"/>
  <c r="J68" i="17"/>
  <c r="I68" i="17"/>
  <c r="H68" i="17"/>
  <c r="G68" i="17"/>
  <c r="F68" i="17"/>
  <c r="E68" i="17"/>
  <c r="I65" i="17"/>
  <c r="H65" i="17"/>
  <c r="G65" i="17"/>
  <c r="F65" i="17"/>
  <c r="V12" i="17"/>
  <c r="K65" i="17"/>
  <c r="J65" i="17"/>
  <c r="E65" i="17"/>
  <c r="U12" i="17"/>
  <c r="U25" i="17" s="1"/>
  <c r="T12" i="17"/>
  <c r="S12" i="17"/>
  <c r="R12" i="17"/>
  <c r="Q12" i="17"/>
  <c r="P12" i="17"/>
  <c r="V11" i="17"/>
  <c r="U11" i="17"/>
  <c r="T11" i="17"/>
  <c r="T13" i="17" s="1"/>
  <c r="S11" i="17"/>
  <c r="R11" i="17"/>
  <c r="Q11" i="17"/>
  <c r="P11" i="17"/>
  <c r="U10" i="17"/>
  <c r="T10" i="17"/>
  <c r="S10" i="17"/>
  <c r="R10" i="17"/>
  <c r="Q10" i="17"/>
  <c r="P10" i="17"/>
  <c r="V9" i="17"/>
  <c r="U9" i="17"/>
  <c r="T9" i="17"/>
  <c r="S9" i="17"/>
  <c r="R9" i="17"/>
  <c r="Q9" i="17"/>
  <c r="W9" i="17" s="1"/>
  <c r="P9" i="17"/>
  <c r="V8" i="17"/>
  <c r="U8" i="17"/>
  <c r="T8" i="17"/>
  <c r="S8" i="17"/>
  <c r="R8" i="17"/>
  <c r="Q8" i="17"/>
  <c r="P8" i="17"/>
  <c r="W8" i="17" s="1"/>
  <c r="V7" i="17"/>
  <c r="U7" i="17"/>
  <c r="T7" i="17"/>
  <c r="S7" i="17"/>
  <c r="R7" i="17"/>
  <c r="Q7" i="17"/>
  <c r="P7" i="17"/>
  <c r="V6" i="17"/>
  <c r="U6" i="17"/>
  <c r="T6" i="17"/>
  <c r="S6" i="17"/>
  <c r="R6" i="17"/>
  <c r="Q6" i="17"/>
  <c r="P6" i="17"/>
  <c r="V5" i="17"/>
  <c r="U5" i="17"/>
  <c r="W5" i="17" s="1"/>
  <c r="T5" i="17"/>
  <c r="S5" i="17"/>
  <c r="R5" i="17"/>
  <c r="Q5" i="17"/>
  <c r="P5" i="17"/>
  <c r="O1" i="17"/>
  <c r="F65" i="16"/>
  <c r="G65" i="16"/>
  <c r="J58" i="16"/>
  <c r="V10" i="16" s="1"/>
  <c r="K58" i="16"/>
  <c r="T11" i="16"/>
  <c r="L58" i="16"/>
  <c r="L65" i="16"/>
  <c r="E58" i="16"/>
  <c r="V5" i="16"/>
  <c r="AA5" i="16" s="1"/>
  <c r="R31" i="16"/>
  <c r="T34" i="16"/>
  <c r="O1" i="16"/>
  <c r="V12" i="16"/>
  <c r="V38" i="16"/>
  <c r="V9" i="16"/>
  <c r="V7" i="16"/>
  <c r="V6" i="16"/>
  <c r="U11" i="16"/>
  <c r="U10" i="16"/>
  <c r="U9" i="16"/>
  <c r="U7" i="16"/>
  <c r="U6" i="16"/>
  <c r="U5" i="16"/>
  <c r="U31" i="16"/>
  <c r="T10" i="16"/>
  <c r="T7" i="16"/>
  <c r="T6" i="16"/>
  <c r="T5" i="16"/>
  <c r="T31" i="16"/>
  <c r="T39" i="16" s="1"/>
  <c r="T41" i="16" s="1"/>
  <c r="S38" i="16"/>
  <c r="S10" i="16"/>
  <c r="S9" i="16"/>
  <c r="S7" i="16"/>
  <c r="AA7" i="16" s="1"/>
  <c r="S6" i="16"/>
  <c r="S5" i="16"/>
  <c r="S31" i="16"/>
  <c r="R10" i="16"/>
  <c r="R13" i="16" s="1"/>
  <c r="R7" i="16"/>
  <c r="R6" i="16"/>
  <c r="R5" i="16"/>
  <c r="Q10" i="16"/>
  <c r="Q8" i="16"/>
  <c r="Q34" i="16"/>
  <c r="Q7" i="16"/>
  <c r="Q6" i="16"/>
  <c r="Q5" i="16"/>
  <c r="Q31" i="16"/>
  <c r="P38" i="16"/>
  <c r="P10" i="16"/>
  <c r="P8" i="16"/>
  <c r="P34" i="16"/>
  <c r="P7" i="16"/>
  <c r="P6" i="16"/>
  <c r="AA6" i="16" s="1"/>
  <c r="P5" i="16"/>
  <c r="P31" i="16"/>
  <c r="V40" i="16"/>
  <c r="U40" i="16"/>
  <c r="T40" i="16"/>
  <c r="S40" i="16"/>
  <c r="R40" i="16"/>
  <c r="Q40" i="16"/>
  <c r="P40" i="16"/>
  <c r="U38" i="16"/>
  <c r="T38" i="16"/>
  <c r="R38" i="16"/>
  <c r="Q38" i="16"/>
  <c r="V34" i="16"/>
  <c r="U34" i="16"/>
  <c r="S34" i="16"/>
  <c r="R34" i="16"/>
  <c r="L68" i="16"/>
  <c r="K68" i="16"/>
  <c r="J68" i="16"/>
  <c r="I68" i="16"/>
  <c r="Q9" i="16"/>
  <c r="H68" i="16"/>
  <c r="G68" i="16"/>
  <c r="M68" i="16" s="1"/>
  <c r="F68" i="16"/>
  <c r="E68" i="16"/>
  <c r="T12" i="16"/>
  <c r="I65" i="16"/>
  <c r="T9" i="16"/>
  <c r="H65" i="16"/>
  <c r="V8" i="16"/>
  <c r="D54" i="16"/>
  <c r="D55" i="16" s="1"/>
  <c r="C54" i="16"/>
  <c r="J67" i="16" s="1"/>
  <c r="L68" i="15"/>
  <c r="K68" i="15"/>
  <c r="J68" i="15"/>
  <c r="I68" i="15"/>
  <c r="H68" i="15"/>
  <c r="G68" i="15"/>
  <c r="F68" i="15"/>
  <c r="M68" i="15" s="1"/>
  <c r="E68" i="15"/>
  <c r="L65" i="15"/>
  <c r="K65" i="15"/>
  <c r="J65" i="15"/>
  <c r="I65" i="15"/>
  <c r="H65" i="15"/>
  <c r="G65" i="15"/>
  <c r="F65" i="15"/>
  <c r="E65" i="15"/>
  <c r="D54" i="15"/>
  <c r="D55" i="15" s="1"/>
  <c r="C54" i="15"/>
  <c r="K67" i="15" s="1"/>
  <c r="K69" i="15" s="1"/>
  <c r="L68" i="14"/>
  <c r="L69" i="14" s="1"/>
  <c r="K68" i="14"/>
  <c r="J68" i="14"/>
  <c r="I68" i="14"/>
  <c r="H68" i="14"/>
  <c r="G68" i="14"/>
  <c r="F68" i="14"/>
  <c r="E68" i="14"/>
  <c r="L65" i="14"/>
  <c r="K65" i="14"/>
  <c r="J65" i="14"/>
  <c r="I65" i="14"/>
  <c r="H65" i="14"/>
  <c r="G65" i="14"/>
  <c r="F65" i="14"/>
  <c r="E65" i="14"/>
  <c r="D54" i="14"/>
  <c r="D55" i="14" s="1"/>
  <c r="C54" i="14"/>
  <c r="L68" i="13"/>
  <c r="K68" i="13"/>
  <c r="J68" i="13"/>
  <c r="I68" i="13"/>
  <c r="H68" i="13"/>
  <c r="G68" i="13"/>
  <c r="F68" i="13"/>
  <c r="F69" i="13" s="1"/>
  <c r="E68" i="13"/>
  <c r="L65" i="13"/>
  <c r="K65" i="13"/>
  <c r="J65" i="13"/>
  <c r="I65" i="13"/>
  <c r="H65" i="13"/>
  <c r="G65" i="13"/>
  <c r="F65" i="13"/>
  <c r="E65" i="13"/>
  <c r="D54" i="13"/>
  <c r="D55" i="13" s="1"/>
  <c r="C54" i="13"/>
  <c r="I67" i="13" s="1"/>
  <c r="I69" i="13" s="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L68" i="11"/>
  <c r="L69" i="11" s="1"/>
  <c r="K68" i="11"/>
  <c r="J68" i="11"/>
  <c r="I68" i="11"/>
  <c r="H68" i="11"/>
  <c r="H69" i="11" s="1"/>
  <c r="G68" i="11"/>
  <c r="F68" i="11"/>
  <c r="E68" i="11"/>
  <c r="L65" i="11"/>
  <c r="K65" i="11"/>
  <c r="J65" i="11"/>
  <c r="I65" i="11"/>
  <c r="H65" i="11"/>
  <c r="G65" i="11"/>
  <c r="F65" i="11"/>
  <c r="E65" i="11"/>
  <c r="D54" i="11"/>
  <c r="D55" i="11" s="1"/>
  <c r="C54" i="11"/>
  <c r="K67" i="11" s="1"/>
  <c r="H68" i="9"/>
  <c r="I68" i="9"/>
  <c r="B22" i="9"/>
  <c r="C22" i="9"/>
  <c r="B23" i="9"/>
  <c r="C23" i="9"/>
  <c r="B24" i="9"/>
  <c r="C24" i="9"/>
  <c r="B25" i="9"/>
  <c r="D25" i="9"/>
  <c r="B26" i="9"/>
  <c r="D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D34" i="9"/>
  <c r="B35" i="9"/>
  <c r="C35" i="9"/>
  <c r="B36" i="9"/>
  <c r="C36" i="9"/>
  <c r="B37" i="9"/>
  <c r="D37" i="9"/>
  <c r="B38" i="9"/>
  <c r="C38" i="9"/>
  <c r="B39" i="9"/>
  <c r="D39" i="9"/>
  <c r="B40" i="9"/>
  <c r="C40" i="9"/>
  <c r="B41" i="9"/>
  <c r="D41" i="9"/>
  <c r="B42" i="9"/>
  <c r="D42" i="9"/>
  <c r="B43" i="9"/>
  <c r="D43" i="9"/>
  <c r="B44" i="9"/>
  <c r="C44" i="9"/>
  <c r="B45" i="9"/>
  <c r="C45" i="9"/>
  <c r="B46" i="9"/>
  <c r="D46" i="9"/>
  <c r="B47" i="9"/>
  <c r="D47" i="9"/>
  <c r="B48" i="9"/>
  <c r="D48" i="9"/>
  <c r="B49" i="9"/>
  <c r="C49" i="9"/>
  <c r="B50" i="9"/>
  <c r="C50" i="9"/>
  <c r="B51" i="9"/>
  <c r="C51" i="9"/>
  <c r="B52" i="9"/>
  <c r="C52" i="9"/>
  <c r="B53" i="9"/>
  <c r="C53" i="9"/>
  <c r="B5" i="9"/>
  <c r="C5" i="9"/>
  <c r="B6" i="9"/>
  <c r="C6" i="9"/>
  <c r="B7" i="9"/>
  <c r="D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D21" i="9"/>
  <c r="D4" i="9"/>
  <c r="B4" i="9"/>
  <c r="L68" i="9"/>
  <c r="K68" i="9"/>
  <c r="J68" i="9"/>
  <c r="G68" i="9"/>
  <c r="F68" i="9"/>
  <c r="E68" i="9"/>
  <c r="L65" i="9"/>
  <c r="K65" i="9"/>
  <c r="J65" i="9"/>
  <c r="I65" i="9"/>
  <c r="H65" i="9"/>
  <c r="G65" i="9"/>
  <c r="F65" i="9"/>
  <c r="E65" i="9"/>
  <c r="L68" i="8"/>
  <c r="K68" i="8"/>
  <c r="J68" i="8"/>
  <c r="I68" i="8"/>
  <c r="H68" i="8"/>
  <c r="G68" i="8"/>
  <c r="M68" i="8" s="1"/>
  <c r="F68" i="8"/>
  <c r="E68" i="8"/>
  <c r="L65" i="8"/>
  <c r="K65" i="8"/>
  <c r="J65" i="8"/>
  <c r="I65" i="8"/>
  <c r="H65" i="8"/>
  <c r="G65" i="8"/>
  <c r="F65" i="8"/>
  <c r="E65" i="8"/>
  <c r="D54" i="8"/>
  <c r="D55" i="8" s="1"/>
  <c r="C54" i="8"/>
  <c r="F67" i="8" s="1"/>
  <c r="F69" i="8" s="1"/>
  <c r="L68" i="7"/>
  <c r="K68" i="7"/>
  <c r="J68" i="7"/>
  <c r="I68" i="7"/>
  <c r="I69" i="7" s="1"/>
  <c r="H68" i="7"/>
  <c r="G68" i="7"/>
  <c r="F68" i="7"/>
  <c r="E68" i="7"/>
  <c r="L65" i="7"/>
  <c r="K65" i="7"/>
  <c r="J65" i="7"/>
  <c r="I65" i="7"/>
  <c r="H65" i="7"/>
  <c r="G65" i="7"/>
  <c r="F65" i="7"/>
  <c r="E65" i="7"/>
  <c r="D54" i="7"/>
  <c r="D55" i="7" s="1"/>
  <c r="C54" i="7"/>
  <c r="K67" i="7" s="1"/>
  <c r="C54" i="6"/>
  <c r="G67" i="6" s="1"/>
  <c r="D54" i="6"/>
  <c r="D55" i="6"/>
  <c r="E65" i="6"/>
  <c r="F65" i="6"/>
  <c r="G65" i="6"/>
  <c r="H65" i="6"/>
  <c r="I65" i="6"/>
  <c r="J65" i="6"/>
  <c r="K65" i="6"/>
  <c r="L65" i="6"/>
  <c r="E68" i="6"/>
  <c r="F68" i="6"/>
  <c r="G68" i="6"/>
  <c r="M68" i="6" s="1"/>
  <c r="H68" i="6"/>
  <c r="I68" i="6"/>
  <c r="J68" i="6"/>
  <c r="K68" i="6"/>
  <c r="L68" i="6"/>
  <c r="G63" i="5"/>
  <c r="H63" i="5"/>
  <c r="H65" i="5" s="1"/>
  <c r="I63" i="5"/>
  <c r="J63" i="5"/>
  <c r="K63" i="5"/>
  <c r="L63" i="5"/>
  <c r="M63" i="5"/>
  <c r="F63" i="5"/>
  <c r="G64" i="5"/>
  <c r="N64" i="5" s="1"/>
  <c r="N65" i="5" s="1"/>
  <c r="H64" i="5"/>
  <c r="F64" i="5"/>
  <c r="I64" i="5"/>
  <c r="J64" i="5"/>
  <c r="J65" i="5" s="1"/>
  <c r="K64" i="5"/>
  <c r="K65" i="5" s="1"/>
  <c r="L64" i="5"/>
  <c r="M64" i="5"/>
  <c r="M65" i="5" s="1"/>
  <c r="I65" i="5"/>
  <c r="F65" i="5"/>
  <c r="D61" i="5"/>
  <c r="D62" i="5" s="1"/>
  <c r="C61" i="5"/>
  <c r="C62" i="5" s="1"/>
  <c r="M61" i="5"/>
  <c r="L61" i="5"/>
  <c r="K61" i="5"/>
  <c r="J61" i="5"/>
  <c r="I61" i="5"/>
  <c r="H61" i="5"/>
  <c r="G61" i="5"/>
  <c r="F61" i="5"/>
  <c r="G61" i="1"/>
  <c r="H61" i="1"/>
  <c r="I61" i="1"/>
  <c r="J61" i="1"/>
  <c r="K61" i="1"/>
  <c r="L61" i="1"/>
  <c r="M61" i="1"/>
  <c r="F61" i="1"/>
  <c r="C61" i="1"/>
  <c r="C62" i="1" s="1"/>
  <c r="G64" i="1"/>
  <c r="H64" i="1"/>
  <c r="H65" i="1" s="1"/>
  <c r="J64" i="1"/>
  <c r="I64" i="1"/>
  <c r="M64" i="1"/>
  <c r="K64" i="1"/>
  <c r="L64" i="1"/>
  <c r="F64" i="1"/>
  <c r="F63" i="1"/>
  <c r="G63" i="1"/>
  <c r="G65" i="1" s="1"/>
  <c r="H63" i="1"/>
  <c r="I63" i="1"/>
  <c r="J63" i="1"/>
  <c r="J65" i="1"/>
  <c r="K63" i="1"/>
  <c r="L63" i="1"/>
  <c r="M63" i="1"/>
  <c r="D61" i="1"/>
  <c r="D62" i="1" s="1"/>
  <c r="F67" i="7"/>
  <c r="F69" i="7" s="1"/>
  <c r="H67" i="7"/>
  <c r="J67" i="7"/>
  <c r="J69" i="7" s="1"/>
  <c r="L67" i="7"/>
  <c r="L69" i="7" s="1"/>
  <c r="C55" i="7"/>
  <c r="G67" i="7"/>
  <c r="G69" i="7" s="1"/>
  <c r="I67" i="7"/>
  <c r="L67" i="8"/>
  <c r="H67" i="11"/>
  <c r="L67" i="11"/>
  <c r="E67" i="11"/>
  <c r="F67" i="13"/>
  <c r="G67" i="13"/>
  <c r="G69" i="13" s="1"/>
  <c r="H67" i="14"/>
  <c r="C55" i="14"/>
  <c r="I67" i="14"/>
  <c r="L67" i="15"/>
  <c r="I67" i="15"/>
  <c r="I69" i="15" s="1"/>
  <c r="V31" i="16"/>
  <c r="V39" i="16" s="1"/>
  <c r="V41" i="16" s="1"/>
  <c r="I67" i="11"/>
  <c r="I69" i="11"/>
  <c r="C55" i="11"/>
  <c r="E67" i="6"/>
  <c r="J67" i="11"/>
  <c r="J69" i="11" s="1"/>
  <c r="F67" i="11"/>
  <c r="F69" i="11"/>
  <c r="F65" i="1"/>
  <c r="G67" i="11"/>
  <c r="G69" i="11" s="1"/>
  <c r="E69" i="6"/>
  <c r="U12" i="16"/>
  <c r="U13" i="16" s="1"/>
  <c r="G67" i="16"/>
  <c r="I67" i="16"/>
  <c r="I69" i="16" s="1"/>
  <c r="R9" i="16"/>
  <c r="H67" i="16"/>
  <c r="H69" i="16" s="1"/>
  <c r="T8" i="16"/>
  <c r="L67" i="16"/>
  <c r="L69" i="16" s="1"/>
  <c r="S12" i="16"/>
  <c r="E67" i="16"/>
  <c r="E69" i="16"/>
  <c r="R12" i="16"/>
  <c r="U8" i="16"/>
  <c r="C55" i="16"/>
  <c r="K67" i="16"/>
  <c r="K69" i="16" s="1"/>
  <c r="F67" i="16"/>
  <c r="F69" i="16" s="1"/>
  <c r="S8" i="16"/>
  <c r="AA8" i="16"/>
  <c r="P9" i="16"/>
  <c r="R8" i="16"/>
  <c r="R11" i="16"/>
  <c r="S11" i="16"/>
  <c r="P12" i="16"/>
  <c r="W12" i="16" s="1"/>
  <c r="U25" i="16" s="1"/>
  <c r="Q12" i="16"/>
  <c r="P11" i="16"/>
  <c r="Q11" i="16"/>
  <c r="Q39" i="16"/>
  <c r="Q41" i="16" s="1"/>
  <c r="P39" i="16"/>
  <c r="P41" i="16" s="1"/>
  <c r="S39" i="16"/>
  <c r="S41" i="16" s="1"/>
  <c r="R39" i="16"/>
  <c r="R41" i="16" s="1"/>
  <c r="U39" i="16"/>
  <c r="U41" i="16" s="1"/>
  <c r="L65" i="17"/>
  <c r="V10" i="17"/>
  <c r="V13" i="17" s="1"/>
  <c r="M68" i="14"/>
  <c r="I65" i="1"/>
  <c r="I69" i="14"/>
  <c r="E69" i="11"/>
  <c r="S13" i="16"/>
  <c r="L65" i="1"/>
  <c r="M68" i="7"/>
  <c r="J67" i="8"/>
  <c r="J69" i="8" s="1"/>
  <c r="E67" i="8"/>
  <c r="K67" i="14"/>
  <c r="K69" i="14" s="1"/>
  <c r="J67" i="14"/>
  <c r="J69" i="14" s="1"/>
  <c r="E67" i="14"/>
  <c r="F67" i="14"/>
  <c r="M67" i="14" s="1"/>
  <c r="M69" i="14" s="1"/>
  <c r="G67" i="14"/>
  <c r="G69" i="14"/>
  <c r="L67" i="14"/>
  <c r="W5" i="16"/>
  <c r="U18" i="16" s="1"/>
  <c r="W8" i="16"/>
  <c r="S21" i="16" s="1"/>
  <c r="P21" i="16"/>
  <c r="W7" i="16"/>
  <c r="Y7" i="16" s="1"/>
  <c r="R20" i="16"/>
  <c r="R33" i="16" s="1"/>
  <c r="N63" i="5"/>
  <c r="L69" i="15"/>
  <c r="E65" i="16"/>
  <c r="K65" i="16"/>
  <c r="V11" i="16"/>
  <c r="U20" i="16"/>
  <c r="U33" i="16"/>
  <c r="Y8" i="16"/>
  <c r="R21" i="16"/>
  <c r="AA11" i="16"/>
  <c r="E69" i="14"/>
  <c r="S13" i="17"/>
  <c r="AA6" i="17"/>
  <c r="G69" i="17"/>
  <c r="P13" i="17"/>
  <c r="AA8" i="17"/>
  <c r="W12" i="17"/>
  <c r="R25" i="17" s="1"/>
  <c r="W7" i="17"/>
  <c r="U20" i="17" s="1"/>
  <c r="W11" i="17"/>
  <c r="P24" i="17" s="1"/>
  <c r="AA12" i="17"/>
  <c r="M68" i="17"/>
  <c r="F69" i="17"/>
  <c r="K67" i="17"/>
  <c r="K69" i="17" s="1"/>
  <c r="Q13" i="17"/>
  <c r="R13" i="17"/>
  <c r="AA11" i="17"/>
  <c r="W6" i="17"/>
  <c r="U19" i="17" s="1"/>
  <c r="E67" i="17"/>
  <c r="I67" i="17"/>
  <c r="I69" i="17" s="1"/>
  <c r="E69" i="17"/>
  <c r="L67" i="17"/>
  <c r="L69" i="17"/>
  <c r="H67" i="17"/>
  <c r="H69" i="17" s="1"/>
  <c r="J67" i="17"/>
  <c r="J69" i="17" s="1"/>
  <c r="Y12" i="17"/>
  <c r="T25" i="17"/>
  <c r="Q20" i="17"/>
  <c r="P25" i="17"/>
  <c r="V20" i="17"/>
  <c r="S25" i="17"/>
  <c r="Z12" i="22" l="1"/>
  <c r="T25" i="22"/>
  <c r="R23" i="22"/>
  <c r="Z10" i="22"/>
  <c r="R25" i="22"/>
  <c r="Z6" i="22"/>
  <c r="V19" i="22"/>
  <c r="W19" i="22"/>
  <c r="Q23" i="22"/>
  <c r="Q19" i="22"/>
  <c r="V23" i="22"/>
  <c r="W25" i="22"/>
  <c r="X25" i="22"/>
  <c r="T18" i="22"/>
  <c r="T19" i="22"/>
  <c r="W24" i="22"/>
  <c r="X7" i="22"/>
  <c r="X13" i="22" s="1"/>
  <c r="Q22" i="22"/>
  <c r="U24" i="22"/>
  <c r="R22" i="22"/>
  <c r="V18" i="22"/>
  <c r="X21" i="22"/>
  <c r="W22" i="22"/>
  <c r="U22" i="22"/>
  <c r="T24" i="22"/>
  <c r="U23" i="22"/>
  <c r="S18" i="22"/>
  <c r="X18" i="22" s="1"/>
  <c r="V25" i="22"/>
  <c r="Z8" i="22"/>
  <c r="T21" i="22"/>
  <c r="W21" i="22"/>
  <c r="U21" i="22"/>
  <c r="W23" i="22"/>
  <c r="W13" i="22"/>
  <c r="U19" i="22"/>
  <c r="Q24" i="22"/>
  <c r="X24" i="22" s="1"/>
  <c r="T22" i="21"/>
  <c r="W21" i="21"/>
  <c r="E69" i="21"/>
  <c r="S20" i="21"/>
  <c r="R20" i="21"/>
  <c r="Q20" i="21"/>
  <c r="Y7" i="21"/>
  <c r="P20" i="21"/>
  <c r="T20" i="21"/>
  <c r="Q22" i="21"/>
  <c r="Y9" i="21"/>
  <c r="P22" i="21"/>
  <c r="V22" i="21"/>
  <c r="S24" i="21"/>
  <c r="Q24" i="21"/>
  <c r="Y11" i="21"/>
  <c r="T24" i="21"/>
  <c r="R24" i="21"/>
  <c r="P24" i="21"/>
  <c r="Q18" i="21"/>
  <c r="P18" i="21"/>
  <c r="W13" i="21"/>
  <c r="V15" i="21" s="1"/>
  <c r="R22" i="21"/>
  <c r="S25" i="21"/>
  <c r="R25" i="21"/>
  <c r="Y12" i="21"/>
  <c r="Q25" i="21"/>
  <c r="P25" i="21"/>
  <c r="R18" i="21"/>
  <c r="V18" i="21"/>
  <c r="T25" i="21"/>
  <c r="U18" i="21"/>
  <c r="V25" i="21"/>
  <c r="U25" i="21"/>
  <c r="V24" i="21"/>
  <c r="S22" i="21"/>
  <c r="W19" i="21"/>
  <c r="W23" i="21"/>
  <c r="T18" i="21"/>
  <c r="S18" i="21"/>
  <c r="Y8" i="20"/>
  <c r="V21" i="20"/>
  <c r="U21" i="20"/>
  <c r="S23" i="20"/>
  <c r="W23" i="20" s="1"/>
  <c r="U23" i="20"/>
  <c r="Y10" i="20"/>
  <c r="V23" i="20"/>
  <c r="S21" i="20"/>
  <c r="T21" i="20"/>
  <c r="S15" i="20"/>
  <c r="V15" i="20"/>
  <c r="Y12" i="20"/>
  <c r="V25" i="20"/>
  <c r="U25" i="20"/>
  <c r="Q25" i="20"/>
  <c r="S24" i="20"/>
  <c r="U24" i="20"/>
  <c r="Y11" i="20"/>
  <c r="P24" i="20"/>
  <c r="V24" i="20"/>
  <c r="P25" i="20"/>
  <c r="S19" i="20"/>
  <c r="U19" i="20"/>
  <c r="Y6" i="20"/>
  <c r="Y13" i="20" s="1"/>
  <c r="AA15" i="20" s="1"/>
  <c r="Q15" i="20"/>
  <c r="Q23" i="20"/>
  <c r="M67" i="20"/>
  <c r="M69" i="20" s="1"/>
  <c r="T15" i="20"/>
  <c r="U15" i="20"/>
  <c r="S25" i="20"/>
  <c r="S20" i="20"/>
  <c r="U20" i="20"/>
  <c r="Y7" i="20"/>
  <c r="P20" i="20"/>
  <c r="V20" i="20"/>
  <c r="W22" i="20"/>
  <c r="P19" i="20"/>
  <c r="W19" i="20" s="1"/>
  <c r="R15" i="20"/>
  <c r="P21" i="20"/>
  <c r="R21" i="20"/>
  <c r="R20" i="20"/>
  <c r="S24" i="19"/>
  <c r="Y10" i="19"/>
  <c r="P23" i="19"/>
  <c r="S23" i="19"/>
  <c r="U23" i="19"/>
  <c r="Q23" i="19"/>
  <c r="V23" i="19"/>
  <c r="R23" i="19"/>
  <c r="U22" i="19"/>
  <c r="Q22" i="19"/>
  <c r="R22" i="19"/>
  <c r="T22" i="19"/>
  <c r="Y9" i="19"/>
  <c r="S22" i="19"/>
  <c r="W22" i="19" s="1"/>
  <c r="V22" i="19"/>
  <c r="Q19" i="19"/>
  <c r="S19" i="19"/>
  <c r="P19" i="19"/>
  <c r="W19" i="19"/>
  <c r="P18" i="19"/>
  <c r="Y5" i="19"/>
  <c r="V18" i="19"/>
  <c r="S18" i="19"/>
  <c r="U18" i="19"/>
  <c r="Q18" i="19"/>
  <c r="T18" i="19"/>
  <c r="S25" i="19"/>
  <c r="W25" i="19" s="1"/>
  <c r="Y12" i="19"/>
  <c r="Q25" i="19"/>
  <c r="V25" i="19"/>
  <c r="Q21" i="19"/>
  <c r="AA13" i="19"/>
  <c r="P20" i="19"/>
  <c r="S20" i="19"/>
  <c r="P21" i="19"/>
  <c r="M67" i="19"/>
  <c r="M69" i="19" s="1"/>
  <c r="T24" i="19"/>
  <c r="Y11" i="19"/>
  <c r="Q24" i="19"/>
  <c r="V24" i="19"/>
  <c r="S21" i="19"/>
  <c r="I69" i="19"/>
  <c r="Y8" i="19"/>
  <c r="V21" i="19"/>
  <c r="T20" i="19"/>
  <c r="Q20" i="19"/>
  <c r="Y7" i="19"/>
  <c r="V20" i="19"/>
  <c r="U20" i="19"/>
  <c r="R21" i="19"/>
  <c r="W13" i="19"/>
  <c r="P24" i="19"/>
  <c r="R24" i="19"/>
  <c r="T21" i="19"/>
  <c r="K69" i="11"/>
  <c r="M67" i="11"/>
  <c r="Q19" i="16"/>
  <c r="Q32" i="16" s="1"/>
  <c r="P18" i="17"/>
  <c r="W18" i="17" s="1"/>
  <c r="S18" i="17"/>
  <c r="V18" i="17"/>
  <c r="Q18" i="17"/>
  <c r="U18" i="17"/>
  <c r="Y5" i="17"/>
  <c r="P21" i="17"/>
  <c r="R21" i="17"/>
  <c r="V21" i="17"/>
  <c r="R22" i="17"/>
  <c r="V22" i="17"/>
  <c r="T22" i="17"/>
  <c r="U22" i="17"/>
  <c r="P22" i="17"/>
  <c r="Y9" i="17"/>
  <c r="S22" i="17"/>
  <c r="W13" i="17"/>
  <c r="T15" i="17" s="1"/>
  <c r="G65" i="5"/>
  <c r="P13" i="16"/>
  <c r="Q13" i="16"/>
  <c r="Q25" i="17"/>
  <c r="W25" i="17" s="1"/>
  <c r="AA10" i="17"/>
  <c r="Y5" i="16"/>
  <c r="S20" i="16"/>
  <c r="S33" i="16" s="1"/>
  <c r="W6" i="16"/>
  <c r="F69" i="14"/>
  <c r="G67" i="8"/>
  <c r="G69" i="8" s="1"/>
  <c r="N64" i="1"/>
  <c r="E67" i="13"/>
  <c r="E69" i="13" s="1"/>
  <c r="J67" i="6"/>
  <c r="J69" i="6" s="1"/>
  <c r="M65" i="1"/>
  <c r="L69" i="8"/>
  <c r="AA9" i="16"/>
  <c r="C55" i="13"/>
  <c r="L67" i="6"/>
  <c r="L69" i="6" s="1"/>
  <c r="I67" i="6"/>
  <c r="I69" i="6" s="1"/>
  <c r="M68" i="9"/>
  <c r="H69" i="13"/>
  <c r="W9" i="16"/>
  <c r="S22" i="16" s="1"/>
  <c r="S35" i="16" s="1"/>
  <c r="AA7" i="17"/>
  <c r="S18" i="16"/>
  <c r="K67" i="8"/>
  <c r="K69" i="8" s="1"/>
  <c r="T19" i="17"/>
  <c r="P20" i="16"/>
  <c r="P33" i="16" s="1"/>
  <c r="I67" i="8"/>
  <c r="I69" i="8" s="1"/>
  <c r="M68" i="13"/>
  <c r="L67" i="13"/>
  <c r="L69" i="13" s="1"/>
  <c r="N63" i="1"/>
  <c r="F67" i="6"/>
  <c r="F69" i="6" s="1"/>
  <c r="H69" i="7"/>
  <c r="K67" i="13"/>
  <c r="K69" i="13" s="1"/>
  <c r="AA5" i="17"/>
  <c r="U13" i="17"/>
  <c r="V19" i="18"/>
  <c r="H69" i="14"/>
  <c r="J67" i="13"/>
  <c r="J69" i="13" s="1"/>
  <c r="H67" i="8"/>
  <c r="E67" i="7"/>
  <c r="M67" i="7" s="1"/>
  <c r="M69" i="7" s="1"/>
  <c r="H69" i="8"/>
  <c r="C55" i="17"/>
  <c r="Q19" i="18"/>
  <c r="H67" i="13"/>
  <c r="L65" i="5"/>
  <c r="J65" i="16"/>
  <c r="P23" i="17"/>
  <c r="P19" i="18"/>
  <c r="Y7" i="18"/>
  <c r="W10" i="17"/>
  <c r="V23" i="17" s="1"/>
  <c r="C55" i="8"/>
  <c r="Y6" i="17"/>
  <c r="V25" i="17"/>
  <c r="W11" i="16"/>
  <c r="M68" i="11"/>
  <c r="M69" i="11" s="1"/>
  <c r="Q22" i="17"/>
  <c r="W22" i="17" s="1"/>
  <c r="AA12" i="16"/>
  <c r="K67" i="6"/>
  <c r="K69" i="6" s="1"/>
  <c r="H67" i="6"/>
  <c r="H69" i="6" s="1"/>
  <c r="K65" i="1"/>
  <c r="C55" i="6"/>
  <c r="AA9" i="17"/>
  <c r="AA13" i="17" s="1"/>
  <c r="Q23" i="17"/>
  <c r="R22" i="18"/>
  <c r="V20" i="18"/>
  <c r="U19" i="18"/>
  <c r="W13" i="18"/>
  <c r="R15" i="18" s="1"/>
  <c r="U18" i="18"/>
  <c r="Y5" i="18"/>
  <c r="R18" i="18"/>
  <c r="T18" i="18"/>
  <c r="V18" i="18"/>
  <c r="AA13" i="18"/>
  <c r="R23" i="18"/>
  <c r="S24" i="18"/>
  <c r="V23" i="18"/>
  <c r="U23" i="18"/>
  <c r="P23" i="18"/>
  <c r="P21" i="18"/>
  <c r="U21" i="18"/>
  <c r="V25" i="18"/>
  <c r="R25" i="18"/>
  <c r="P25" i="18"/>
  <c r="U25" i="18"/>
  <c r="T25" i="18"/>
  <c r="R19" i="18"/>
  <c r="T19" i="18"/>
  <c r="M67" i="18"/>
  <c r="M69" i="18" s="1"/>
  <c r="V24" i="18"/>
  <c r="T21" i="18"/>
  <c r="Q25" i="18"/>
  <c r="E69" i="18"/>
  <c r="Q23" i="18"/>
  <c r="T23" i="18"/>
  <c r="R24" i="18"/>
  <c r="U20" i="18"/>
  <c r="Q20" i="18"/>
  <c r="T20" i="18"/>
  <c r="P20" i="18"/>
  <c r="S19" i="18"/>
  <c r="R20" i="18"/>
  <c r="U22" i="18"/>
  <c r="Q22" i="18"/>
  <c r="T22" i="18"/>
  <c r="P22" i="18"/>
  <c r="S21" i="18"/>
  <c r="V21" i="18"/>
  <c r="U24" i="18"/>
  <c r="Q24" i="18"/>
  <c r="T24" i="18"/>
  <c r="P24" i="18"/>
  <c r="S23" i="18"/>
  <c r="Q21" i="18"/>
  <c r="V22" i="18"/>
  <c r="S25" i="18"/>
  <c r="R21" i="18"/>
  <c r="S22" i="18"/>
  <c r="D54" i="9"/>
  <c r="D55" i="9" s="1"/>
  <c r="AA13" i="16"/>
  <c r="V15" i="17"/>
  <c r="R24" i="17"/>
  <c r="P19" i="17"/>
  <c r="T18" i="17"/>
  <c r="R18" i="17"/>
  <c r="P20" i="17"/>
  <c r="Q20" i="16"/>
  <c r="Q33" i="16" s="1"/>
  <c r="V20" i="16"/>
  <c r="V33" i="16" s="1"/>
  <c r="T20" i="16"/>
  <c r="T33" i="16" s="1"/>
  <c r="R18" i="16"/>
  <c r="T18" i="16"/>
  <c r="V18" i="16"/>
  <c r="V25" i="16"/>
  <c r="G69" i="6"/>
  <c r="K69" i="7"/>
  <c r="U22" i="16"/>
  <c r="U35" i="16" s="1"/>
  <c r="Q15" i="17"/>
  <c r="T21" i="17"/>
  <c r="U21" i="17"/>
  <c r="S21" i="17"/>
  <c r="V19" i="17"/>
  <c r="Q19" i="17"/>
  <c r="Q21" i="17"/>
  <c r="S19" i="17"/>
  <c r="W15" i="17"/>
  <c r="M67" i="17"/>
  <c r="M69" i="17" s="1"/>
  <c r="T24" i="17"/>
  <c r="R19" i="17"/>
  <c r="Y11" i="17"/>
  <c r="Y8" i="17"/>
  <c r="U24" i="17"/>
  <c r="T24" i="16"/>
  <c r="T37" i="16" s="1"/>
  <c r="Y11" i="16"/>
  <c r="S24" i="16"/>
  <c r="S37" i="16" s="1"/>
  <c r="Q18" i="16"/>
  <c r="P18" i="16"/>
  <c r="V13" i="16"/>
  <c r="J69" i="16"/>
  <c r="M67" i="16"/>
  <c r="M69" i="16" s="1"/>
  <c r="W10" i="16"/>
  <c r="AA10" i="16"/>
  <c r="P25" i="16"/>
  <c r="Q25" i="16"/>
  <c r="Y12" i="16"/>
  <c r="T25" i="16"/>
  <c r="R25" i="16"/>
  <c r="Q24" i="17"/>
  <c r="V24" i="17"/>
  <c r="T20" i="17"/>
  <c r="R20" i="17"/>
  <c r="Y7" i="17"/>
  <c r="S20" i="17"/>
  <c r="S24" i="17"/>
  <c r="U21" i="16"/>
  <c r="Q21" i="16"/>
  <c r="V21" i="16"/>
  <c r="T21" i="16"/>
  <c r="E69" i="8"/>
  <c r="M67" i="8"/>
  <c r="M69" i="8" s="1"/>
  <c r="S25" i="16"/>
  <c r="G67" i="15"/>
  <c r="G69" i="15" s="1"/>
  <c r="J67" i="15"/>
  <c r="J69" i="15" s="1"/>
  <c r="F67" i="15"/>
  <c r="F69" i="15" s="1"/>
  <c r="G69" i="16"/>
  <c r="T13" i="16"/>
  <c r="E67" i="15"/>
  <c r="C55" i="15"/>
  <c r="H67" i="15"/>
  <c r="H69" i="15" s="1"/>
  <c r="C54" i="9"/>
  <c r="H67" i="9" s="1"/>
  <c r="H69" i="9" s="1"/>
  <c r="X15" i="22" l="1"/>
  <c r="Q15" i="22"/>
  <c r="S15" i="22"/>
  <c r="T15" i="22"/>
  <c r="R15" i="22"/>
  <c r="U15" i="22"/>
  <c r="V15" i="22"/>
  <c r="W15" i="22"/>
  <c r="X19" i="22"/>
  <c r="X23" i="22"/>
  <c r="X22" i="22"/>
  <c r="W20" i="22"/>
  <c r="Z13" i="22"/>
  <c r="AB15" i="22" s="1"/>
  <c r="U20" i="22"/>
  <c r="S20" i="22"/>
  <c r="R20" i="22"/>
  <c r="Z7" i="22"/>
  <c r="V20" i="22"/>
  <c r="T20" i="22"/>
  <c r="Q20" i="22"/>
  <c r="W24" i="21"/>
  <c r="R15" i="21"/>
  <c r="S15" i="21"/>
  <c r="W18" i="21"/>
  <c r="W22" i="21"/>
  <c r="W15" i="21"/>
  <c r="U15" i="21"/>
  <c r="Q15" i="21"/>
  <c r="P15" i="21"/>
  <c r="T15" i="21"/>
  <c r="W25" i="21"/>
  <c r="Y13" i="21"/>
  <c r="W20" i="21"/>
  <c r="W25" i="20"/>
  <c r="W20" i="20"/>
  <c r="W24" i="20"/>
  <c r="W21" i="20"/>
  <c r="W23" i="19"/>
  <c r="W21" i="19"/>
  <c r="W20" i="19"/>
  <c r="W18" i="19"/>
  <c r="Y13" i="19"/>
  <c r="AA15" i="19" s="1"/>
  <c r="W15" i="19"/>
  <c r="P15" i="19"/>
  <c r="V15" i="19"/>
  <c r="U15" i="19"/>
  <c r="R15" i="19"/>
  <c r="Q15" i="19"/>
  <c r="T15" i="19"/>
  <c r="W24" i="19"/>
  <c r="S15" i="19"/>
  <c r="V24" i="16"/>
  <c r="V37" i="16" s="1"/>
  <c r="U24" i="16"/>
  <c r="U37" i="16" s="1"/>
  <c r="P24" i="16"/>
  <c r="P37" i="16" s="1"/>
  <c r="P22" i="16"/>
  <c r="P35" i="16" s="1"/>
  <c r="P15" i="17"/>
  <c r="Y13" i="18"/>
  <c r="AA15" i="18" s="1"/>
  <c r="E69" i="7"/>
  <c r="T22" i="16"/>
  <c r="T35" i="16" s="1"/>
  <c r="W18" i="18"/>
  <c r="N65" i="1"/>
  <c r="S15" i="17"/>
  <c r="M67" i="13"/>
  <c r="M69" i="13" s="1"/>
  <c r="Q22" i="16"/>
  <c r="Q35" i="16" s="1"/>
  <c r="R15" i="17"/>
  <c r="W21" i="17"/>
  <c r="V22" i="16"/>
  <c r="V35" i="16" s="1"/>
  <c r="K67" i="9"/>
  <c r="K69" i="9" s="1"/>
  <c r="R24" i="16"/>
  <c r="R37" i="16" s="1"/>
  <c r="Y9" i="16"/>
  <c r="W19" i="17"/>
  <c r="U23" i="17"/>
  <c r="Y10" i="17"/>
  <c r="Y13" i="17" s="1"/>
  <c r="AA15" i="17" s="1"/>
  <c r="T23" i="17"/>
  <c r="R23" i="17"/>
  <c r="W23" i="17" s="1"/>
  <c r="W24" i="17"/>
  <c r="U15" i="17"/>
  <c r="R22" i="16"/>
  <c r="R35" i="16" s="1"/>
  <c r="M67" i="6"/>
  <c r="M69" i="6" s="1"/>
  <c r="S23" i="17"/>
  <c r="P19" i="16"/>
  <c r="P32" i="16" s="1"/>
  <c r="R19" i="16"/>
  <c r="R32" i="16" s="1"/>
  <c r="S19" i="16"/>
  <c r="S32" i="16" s="1"/>
  <c r="T19" i="16"/>
  <c r="T32" i="16" s="1"/>
  <c r="Y6" i="16"/>
  <c r="V19" i="16"/>
  <c r="V32" i="16" s="1"/>
  <c r="U19" i="16"/>
  <c r="U32" i="16" s="1"/>
  <c r="Q24" i="16"/>
  <c r="Q37" i="16" s="1"/>
  <c r="W23" i="18"/>
  <c r="W21" i="18"/>
  <c r="U15" i="18"/>
  <c r="W15" i="18"/>
  <c r="Q15" i="18"/>
  <c r="P15" i="18"/>
  <c r="S15" i="18"/>
  <c r="V15" i="18"/>
  <c r="W25" i="18"/>
  <c r="T15" i="18"/>
  <c r="W19" i="18"/>
  <c r="W20" i="18"/>
  <c r="W24" i="18"/>
  <c r="W22" i="18"/>
  <c r="E67" i="9"/>
  <c r="E69" i="9" s="1"/>
  <c r="S23" i="16"/>
  <c r="S36" i="16" s="1"/>
  <c r="R23" i="16"/>
  <c r="R36" i="16" s="1"/>
  <c r="Y10" i="16"/>
  <c r="U23" i="16"/>
  <c r="U36" i="16" s="1"/>
  <c r="Q23" i="16"/>
  <c r="Q36" i="16" s="1"/>
  <c r="P23" i="16"/>
  <c r="P36" i="16" s="1"/>
  <c r="W13" i="16"/>
  <c r="T15" i="16" s="1"/>
  <c r="C55" i="9"/>
  <c r="J67" i="9"/>
  <c r="J69" i="9" s="1"/>
  <c r="F67" i="9"/>
  <c r="F69" i="9" s="1"/>
  <c r="I67" i="9"/>
  <c r="I69" i="9" s="1"/>
  <c r="T23" i="16"/>
  <c r="T36" i="16" s="1"/>
  <c r="L67" i="9"/>
  <c r="L69" i="9" s="1"/>
  <c r="G67" i="9"/>
  <c r="G69" i="9" s="1"/>
  <c r="E69" i="15"/>
  <c r="M67" i="15"/>
  <c r="M69" i="15" s="1"/>
  <c r="V23" i="16"/>
  <c r="V36" i="16" s="1"/>
  <c r="W20" i="17"/>
  <c r="X20" i="22" l="1"/>
  <c r="V15" i="16"/>
  <c r="Y13" i="16"/>
  <c r="AA15" i="16" s="1"/>
  <c r="S15" i="16"/>
  <c r="W15" i="16"/>
  <c r="U15" i="16"/>
  <c r="Q15" i="16"/>
  <c r="P15" i="16"/>
  <c r="R15" i="16"/>
  <c r="M67" i="9"/>
  <c r="M69" i="9" s="1"/>
</calcChain>
</file>

<file path=xl/sharedStrings.xml><?xml version="1.0" encoding="utf-8"?>
<sst xmlns="http://schemas.openxmlformats.org/spreadsheetml/2006/main" count="1227" uniqueCount="362">
  <si>
    <t>B.S.C.</t>
  </si>
  <si>
    <t>C &amp; I</t>
  </si>
  <si>
    <t>Cemac</t>
  </si>
  <si>
    <t>Chun Wo</t>
  </si>
  <si>
    <t>Daiken</t>
  </si>
  <si>
    <t>E Man - Sanfield JV</t>
  </si>
  <si>
    <t>Eastern Growing</t>
  </si>
  <si>
    <t>Entasis</t>
  </si>
  <si>
    <t>Everbest Alum</t>
  </si>
  <si>
    <t>Extensive Trading</t>
  </si>
  <si>
    <t>Fat Cheong</t>
  </si>
  <si>
    <t>Fortune World</t>
  </si>
  <si>
    <t>Future Best</t>
  </si>
  <si>
    <t xml:space="preserve">Goldfield N &amp; W </t>
  </si>
  <si>
    <t>Goodwill</t>
  </si>
  <si>
    <t>Grandprix</t>
  </si>
  <si>
    <t>H.K.Shanghai Building Mat'l</t>
  </si>
  <si>
    <t>Hip Lik Eng.</t>
  </si>
  <si>
    <t>Hung Fai</t>
  </si>
  <si>
    <t>Hung Kwong Alm.</t>
  </si>
  <si>
    <t>Hung Team</t>
  </si>
  <si>
    <t>Kamyip</t>
  </si>
  <si>
    <t>Kingbird       (45days)</t>
  </si>
  <si>
    <t>Kwok Fung</t>
  </si>
  <si>
    <t>Kwong Hing (Mr. Tam)</t>
  </si>
  <si>
    <t>Lee Woon</t>
  </si>
  <si>
    <t>Li On</t>
  </si>
  <si>
    <t>Lung Tang</t>
  </si>
  <si>
    <t>Ma Sam</t>
  </si>
  <si>
    <t>Major Field Eng. (15th)</t>
  </si>
  <si>
    <t>Miami</t>
  </si>
  <si>
    <t>Ngai Shing</t>
  </si>
  <si>
    <t>Pacific Sky</t>
  </si>
  <si>
    <t>Perfect Profit</t>
  </si>
  <si>
    <t>San Cheong Long</t>
  </si>
  <si>
    <t>Shing Fat</t>
  </si>
  <si>
    <t>Successful Ceiling</t>
  </si>
  <si>
    <t>Sun Kou Ngai</t>
  </si>
  <si>
    <t>Tin Bo (15th)</t>
  </si>
  <si>
    <t>Tin Loong</t>
  </si>
  <si>
    <t>Tin Pa</t>
  </si>
  <si>
    <t>Tin Wai</t>
  </si>
  <si>
    <t>Wah Fai</t>
  </si>
  <si>
    <t>Wah Fai Eng. Co. ( To )</t>
  </si>
  <si>
    <t>Wing Kee</t>
  </si>
  <si>
    <t>Wing Yip</t>
  </si>
  <si>
    <t>Wonderland</t>
  </si>
  <si>
    <t>Yuilley</t>
  </si>
  <si>
    <t>Yau Lee Const.</t>
  </si>
  <si>
    <t>Yellow River</t>
  </si>
  <si>
    <t xml:space="preserve">
Ease of installation</t>
    <phoneticPr fontId="2" type="noConversion"/>
  </si>
  <si>
    <t xml:space="preserve">
Delivery Schedule</t>
    <phoneticPr fontId="2" type="noConversion"/>
  </si>
  <si>
    <t xml:space="preserve">
Pricing of products</t>
    <phoneticPr fontId="2" type="noConversion"/>
  </si>
  <si>
    <t xml:space="preserve">
Variety of product</t>
    <phoneticPr fontId="2" type="noConversion"/>
  </si>
  <si>
    <t>Workmanship</t>
    <phoneticPr fontId="2" type="noConversion"/>
  </si>
  <si>
    <t>Overall</t>
    <phoneticPr fontId="2" type="noConversion"/>
  </si>
  <si>
    <t>Technical suppot</t>
    <phoneticPr fontId="2" type="noConversion"/>
  </si>
  <si>
    <t>Usefulness</t>
    <phoneticPr fontId="2" type="noConversion"/>
  </si>
  <si>
    <t>Customer Satisfaction Survey 2005 Check List ( By Telephone on July 2005 )</t>
    <phoneticPr fontId="2" type="noConversion"/>
  </si>
  <si>
    <t xml:space="preserve">Highest Score : </t>
    <phoneticPr fontId="2" type="noConversion"/>
  </si>
  <si>
    <t xml:space="preserve">Actual Score : </t>
    <phoneticPr fontId="2" type="noConversion"/>
  </si>
  <si>
    <t>38 customers out of 50 answered the questions on phone, achieved 76%</t>
    <phoneticPr fontId="2" type="noConversion"/>
  </si>
  <si>
    <t>Total score obtained 97 points which is over our quality objective and PASS</t>
    <phoneticPr fontId="2" type="noConversion"/>
  </si>
  <si>
    <t xml:space="preserve">Remarks : </t>
    <phoneticPr fontId="2" type="noConversion"/>
  </si>
  <si>
    <t>Customer Satisfaction Survey 2006 Check List ( By Telephone on July 2006 )</t>
    <phoneticPr fontId="2" type="noConversion"/>
  </si>
  <si>
    <t xml:space="preserve">Remarks : </t>
    <phoneticPr fontId="2" type="noConversion"/>
  </si>
  <si>
    <t>39 customers out of 50 answered the questions on phone, achieved 78%</t>
    <phoneticPr fontId="2" type="noConversion"/>
  </si>
  <si>
    <t>Total score obtained 96 points which is over our quality objective and PASS</t>
    <phoneticPr fontId="2" type="noConversion"/>
  </si>
  <si>
    <t>Dickson Interior</t>
  </si>
  <si>
    <t>Keep Born Ltd.</t>
  </si>
  <si>
    <t>Lyon</t>
  </si>
  <si>
    <t>Major Field</t>
  </si>
  <si>
    <t>Ming Fung</t>
  </si>
  <si>
    <t>Ming Hing</t>
  </si>
  <si>
    <t>Parkrise</t>
  </si>
  <si>
    <t>Sum Lee</t>
  </si>
  <si>
    <t>Tang Tat</t>
  </si>
  <si>
    <t>Tin Fai (Mrs. Lau)</t>
  </si>
  <si>
    <t>Workmanship</t>
    <phoneticPr fontId="2" type="noConversion"/>
  </si>
  <si>
    <t xml:space="preserve">
Ease of installation</t>
    <phoneticPr fontId="2" type="noConversion"/>
  </si>
  <si>
    <t xml:space="preserve">
Delivery Schedule</t>
    <phoneticPr fontId="2" type="noConversion"/>
  </si>
  <si>
    <t xml:space="preserve">
Pricing of products</t>
    <phoneticPr fontId="2" type="noConversion"/>
  </si>
  <si>
    <t xml:space="preserve">
Variety of product</t>
    <phoneticPr fontId="2" type="noConversion"/>
  </si>
  <si>
    <t>Technical suppot</t>
    <phoneticPr fontId="2" type="noConversion"/>
  </si>
  <si>
    <t>Usefulness</t>
    <phoneticPr fontId="2" type="noConversion"/>
  </si>
  <si>
    <t>Overall</t>
    <phoneticPr fontId="2" type="noConversion"/>
  </si>
  <si>
    <t xml:space="preserve">Highest Score : </t>
    <phoneticPr fontId="2" type="noConversion"/>
  </si>
  <si>
    <t xml:space="preserve">Actual Score : </t>
    <phoneticPr fontId="2" type="noConversion"/>
  </si>
  <si>
    <t xml:space="preserve">Remarks : </t>
    <phoneticPr fontId="2" type="noConversion"/>
  </si>
  <si>
    <t>O</t>
    <phoneticPr fontId="2" type="noConversion"/>
  </si>
  <si>
    <t>X</t>
    <phoneticPr fontId="2" type="noConversion"/>
  </si>
  <si>
    <t>Score Calculation</t>
    <phoneticPr fontId="2" type="noConversion"/>
  </si>
  <si>
    <t>PASS</t>
    <phoneticPr fontId="2" type="noConversion"/>
  </si>
  <si>
    <t>Dee Building (PG)</t>
  </si>
  <si>
    <t>Esco / Bonetto</t>
  </si>
  <si>
    <t>Fortune World (PG) 9800 8887</t>
  </si>
  <si>
    <t>H.K.Shanghai Building Mat'l (PG)</t>
  </si>
  <si>
    <t>Hip Shing</t>
  </si>
  <si>
    <t xml:space="preserve">Hung Fai </t>
  </si>
  <si>
    <t>Hung Fai ( Macau )</t>
  </si>
  <si>
    <t>Kai Cheong</t>
  </si>
  <si>
    <t>Kassel Park (PG)</t>
  </si>
  <si>
    <t>Kwok Fung (PG)</t>
  </si>
  <si>
    <t>Ngai Shing 9258 8287</t>
  </si>
  <si>
    <t>Pang's Company (PG)</t>
  </si>
  <si>
    <t>Rising Services(偉成)</t>
  </si>
  <si>
    <t>Wing Yip (PG)</t>
  </si>
  <si>
    <t>Wong Hing</t>
  </si>
  <si>
    <t>Ying Fu</t>
  </si>
  <si>
    <t>Total score obtained 95 points which is over our quality objective and</t>
    <phoneticPr fontId="2" type="noConversion"/>
  </si>
  <si>
    <t>Fuji (China)</t>
  </si>
  <si>
    <t>GrandPrix</t>
  </si>
  <si>
    <t>Hap Lei (Macau)</t>
  </si>
  <si>
    <t>Listo</t>
  </si>
  <si>
    <t>Lycon (Macau)</t>
  </si>
  <si>
    <t>On Top</t>
  </si>
  <si>
    <t>Rambo Const.</t>
  </si>
  <si>
    <t>Sandic Eng. 9023 0033</t>
  </si>
  <si>
    <t>Tak Cheong (Yau Lee)</t>
  </si>
  <si>
    <t>Top Art (PG) (Mr.Chu)</t>
  </si>
  <si>
    <t>Wai Ming M &amp; E / David Mat'l (PG)</t>
  </si>
  <si>
    <t>Customer Satisfaction Survey 2010 Check List ( By Telephone on July 2010 )</t>
    <phoneticPr fontId="2" type="noConversion"/>
  </si>
  <si>
    <t>Customers are select from the highest outstanding A/R of June 2010</t>
    <phoneticPr fontId="2" type="noConversion"/>
  </si>
  <si>
    <t>35 customers out of 50 answered the questions on phone, achieved 70%</t>
    <phoneticPr fontId="2" type="noConversion"/>
  </si>
  <si>
    <t>CDI (Macau)</t>
  </si>
  <si>
    <t>Chi Shing</t>
  </si>
  <si>
    <t>Fu Yiu</t>
  </si>
  <si>
    <t>Great Harvest</t>
  </si>
  <si>
    <t>Hip Hing / Chun Wo</t>
  </si>
  <si>
    <t>Hong Sang (Macau)</t>
  </si>
  <si>
    <t>Hong Yip</t>
  </si>
  <si>
    <t>Kam Fung</t>
  </si>
  <si>
    <t xml:space="preserve">Potex </t>
  </si>
  <si>
    <t>Pro-Fire</t>
  </si>
  <si>
    <t>Rise Team(Keith Lam)</t>
  </si>
  <si>
    <t>Sun Ming Sang (Macau)</t>
  </si>
  <si>
    <t xml:space="preserve">Sundart </t>
  </si>
  <si>
    <t>Widespread (Ms. Tammy)</t>
  </si>
  <si>
    <t>Customers are select from the highest outstanding A/R as at End June 2011</t>
    <phoneticPr fontId="2" type="noConversion"/>
  </si>
  <si>
    <t>32 customers out of 50 answered the questions on phone, achieved 64%</t>
    <phoneticPr fontId="2" type="noConversion"/>
  </si>
  <si>
    <t>Customer Satisfaction Survey 2011 Check List ( By Telephone on July 2011 )</t>
    <phoneticPr fontId="2" type="noConversion"/>
  </si>
  <si>
    <t>Customer Satisfaction Survey 2012 Check List ( By Telephone on 7 July 2012 )</t>
    <phoneticPr fontId="2" type="noConversion"/>
  </si>
  <si>
    <t>Chi Ko ( Macau)</t>
  </si>
  <si>
    <t>Chin Yip Ceiling</t>
  </si>
  <si>
    <t>Dragages</t>
  </si>
  <si>
    <t>Kingbird Resources</t>
  </si>
  <si>
    <t>Min Da (Macau)</t>
  </si>
  <si>
    <t xml:space="preserve">Pui Kee </t>
  </si>
  <si>
    <t>Tak Sum</t>
  </si>
  <si>
    <t>WELL-Tech</t>
  </si>
  <si>
    <t>Customers are select from the highest outstanding A/R as at End June 2012</t>
    <phoneticPr fontId="2" type="noConversion"/>
  </si>
  <si>
    <t>33 customers out of 50 answered the questions on phone, achieved 66%</t>
    <phoneticPr fontId="2" type="noConversion"/>
  </si>
  <si>
    <t>Customers are select from the highest outstanding A/R as at End June 2013</t>
    <phoneticPr fontId="2" type="noConversion"/>
  </si>
  <si>
    <t>36 customers out of 50 answered the questions on phone, achieved 72%</t>
    <phoneticPr fontId="2" type="noConversion"/>
  </si>
  <si>
    <t>Total score obtained 96 points which is over our quality objective and</t>
    <phoneticPr fontId="2" type="noConversion"/>
  </si>
  <si>
    <t>Customer Satisfaction Survey 2013 Check List ( By Telephone on 5 July 2013 )</t>
    <phoneticPr fontId="2" type="noConversion"/>
  </si>
  <si>
    <t>Customer Satisfaction Survey 2014 Check List ( By Telephone on 10 July 2014 )</t>
    <phoneticPr fontId="2" type="noConversion"/>
  </si>
  <si>
    <t>Customers are select from the highest outstanding A/R as at End June 2014</t>
    <phoneticPr fontId="2" type="noConversion"/>
  </si>
  <si>
    <t>30 customers out of 50 answered the questions on phone, achieved 70%</t>
    <phoneticPr fontId="2" type="noConversion"/>
  </si>
  <si>
    <t>Customer Satisfaction Survey 20XX Check List ( By Telephone on                          )</t>
    <phoneticPr fontId="2" type="noConversion"/>
  </si>
  <si>
    <t>Customers are select from the highest outstanding A/R as at End June</t>
    <phoneticPr fontId="2" type="noConversion"/>
  </si>
  <si>
    <t>Customer Satisfaction Survey 2015 Check List ( By Telephone on 6 July 2015 )</t>
    <phoneticPr fontId="2" type="noConversion"/>
  </si>
  <si>
    <t>Circle Eng. (Macau)</t>
  </si>
  <si>
    <t>Hang Cheong</t>
  </si>
  <si>
    <t>Hap Ying (Macau)</t>
  </si>
  <si>
    <t>Hin Tat</t>
  </si>
  <si>
    <t>Hoi Luen</t>
  </si>
  <si>
    <t>Kwok Fung (PG) / Tung Sing</t>
  </si>
  <si>
    <t>Kwong Ling (Macau)</t>
  </si>
  <si>
    <t>Lai Si (Macau)</t>
  </si>
  <si>
    <t>Lucky Wide</t>
  </si>
  <si>
    <t>NJ Fire (Macau)</t>
  </si>
  <si>
    <t>PHM</t>
  </si>
  <si>
    <t>Po Li O (Macau)</t>
  </si>
  <si>
    <t>Tak Lei Fong</t>
  </si>
  <si>
    <t>Vaford</t>
  </si>
  <si>
    <t>Customers are select from the highest outstanding A/R as at End June 2015</t>
    <phoneticPr fontId="2" type="noConversion"/>
  </si>
  <si>
    <t>39 customers out of 50 answered the questions on phone, achieved 78%</t>
    <phoneticPr fontId="2" type="noConversion"/>
  </si>
  <si>
    <t>Total score obtained 96 points which is over our quality objective and</t>
    <phoneticPr fontId="2" type="noConversion"/>
  </si>
  <si>
    <t>Chi Shing / C &amp; I</t>
  </si>
  <si>
    <t>Shen Zhuang (Macau)</t>
  </si>
  <si>
    <t>Tak Kee</t>
  </si>
  <si>
    <t>The Fai (Macau)</t>
  </si>
  <si>
    <t>Tin Pa 9161 1430</t>
  </si>
  <si>
    <t>Usefull (裕豐)</t>
  </si>
  <si>
    <t>Ying Fu/Wang Fu</t>
  </si>
  <si>
    <t xml:space="preserve"> </t>
    <phoneticPr fontId="2" type="noConversion"/>
  </si>
  <si>
    <t>Customer Satisfaction Survey 2016 Check List ( By Telephone on 5 July 2016 )</t>
    <phoneticPr fontId="2" type="noConversion"/>
  </si>
  <si>
    <t>Customers are select from the highest outstanding A/R as at End June 2016</t>
    <phoneticPr fontId="2" type="noConversion"/>
  </si>
  <si>
    <t>35 customers out of 50 answered the questions on phone, achieved 70%</t>
    <phoneticPr fontId="2" type="noConversion"/>
  </si>
  <si>
    <t>Hang Fung</t>
  </si>
  <si>
    <t>Sea Alliance</t>
  </si>
  <si>
    <t>Welltech Eng. Martin</t>
  </si>
  <si>
    <t>Survey Questions</t>
    <phoneticPr fontId="2" type="noConversion"/>
  </si>
  <si>
    <t>Full Mark</t>
    <phoneticPr fontId="2" type="noConversion"/>
  </si>
  <si>
    <t>Result</t>
    <phoneticPr fontId="2" type="noConversion"/>
  </si>
  <si>
    <t>Workmanship of the products</t>
    <phoneticPr fontId="2" type="noConversion"/>
  </si>
  <si>
    <t>Ease of installation</t>
    <phoneticPr fontId="2" type="noConversion"/>
  </si>
  <si>
    <t>Delivery Schedule</t>
    <phoneticPr fontId="2" type="noConversion"/>
  </si>
  <si>
    <t>Pricing of products</t>
    <phoneticPr fontId="2" type="noConversion"/>
  </si>
  <si>
    <t>Variety of products</t>
    <phoneticPr fontId="2" type="noConversion"/>
  </si>
  <si>
    <t>Availability of the technical support</t>
    <phoneticPr fontId="2" type="noConversion"/>
  </si>
  <si>
    <t>Usefulness of the Technical doc</t>
    <phoneticPr fontId="2" type="noConversion"/>
  </si>
  <si>
    <t xml:space="preserve">Overall satisfaction </t>
    <phoneticPr fontId="2" type="noConversion"/>
  </si>
  <si>
    <t>Total:</t>
    <phoneticPr fontId="2" type="noConversion"/>
  </si>
  <si>
    <t xml:space="preserve">Score : </t>
    <phoneticPr fontId="2" type="noConversion"/>
  </si>
  <si>
    <t>Percentage on items</t>
    <phoneticPr fontId="2" type="noConversion"/>
  </si>
  <si>
    <t xml:space="preserve">Ease </t>
    <phoneticPr fontId="2" type="noConversion"/>
  </si>
  <si>
    <t>Delivery</t>
    <phoneticPr fontId="2" type="noConversion"/>
  </si>
  <si>
    <t>Pricing</t>
    <phoneticPr fontId="2" type="noConversion"/>
  </si>
  <si>
    <t>Variety</t>
    <phoneticPr fontId="2" type="noConversion"/>
  </si>
  <si>
    <t xml:space="preserve">Technical </t>
    <phoneticPr fontId="2" type="noConversion"/>
  </si>
  <si>
    <t>Total</t>
    <phoneticPr fontId="2" type="noConversion"/>
  </si>
  <si>
    <t>Technical support</t>
    <phoneticPr fontId="2" type="noConversion"/>
  </si>
  <si>
    <t>H H Robertson</t>
  </si>
  <si>
    <t>ICIL ( Macau )</t>
  </si>
  <si>
    <t>Ngai Sun ( Macau)</t>
  </si>
  <si>
    <t>Richbond ( Macau)</t>
  </si>
  <si>
    <t>Skynet Construction</t>
  </si>
  <si>
    <t>Sundart</t>
  </si>
  <si>
    <t>Wah Fai Ceiling</t>
  </si>
  <si>
    <t>Wahwell</t>
  </si>
  <si>
    <t>Willy</t>
  </si>
  <si>
    <t>Customer Satisfaction Survey 2018 Check List ( By Telephone on 28 July 2018 )</t>
    <phoneticPr fontId="2" type="noConversion"/>
  </si>
  <si>
    <t>Customers are select from the highest outstanding A/R as at End June 2018</t>
    <phoneticPr fontId="2" type="noConversion"/>
  </si>
  <si>
    <t>Total score obtained 94 points which is over our quality objective and</t>
    <phoneticPr fontId="2" type="noConversion"/>
  </si>
  <si>
    <t>Colmat</t>
  </si>
  <si>
    <t>Hang Shun</t>
  </si>
  <si>
    <t>One Zeith</t>
  </si>
  <si>
    <t>Tsang Kuen Lee</t>
  </si>
  <si>
    <t>Customer Satisfaction Survey 2019 Check List ( By Telephone on 3 August 2019 )</t>
    <phoneticPr fontId="2" type="noConversion"/>
  </si>
  <si>
    <t>Customers are select from the highest outstanding A/R as at End June 2019</t>
    <phoneticPr fontId="2" type="noConversion"/>
  </si>
  <si>
    <t>Master King</t>
  </si>
  <si>
    <t>New World Sense</t>
  </si>
  <si>
    <t>Tin Fung</t>
  </si>
  <si>
    <t>Welltech</t>
  </si>
  <si>
    <t>Total score obtained 93 points which is over our quality objective and</t>
    <phoneticPr fontId="2" type="noConversion"/>
  </si>
  <si>
    <t>Hong Kong Ceiling</t>
  </si>
  <si>
    <t>Kwong Yin Wing Koo</t>
  </si>
  <si>
    <t>Sundart (Hong Kong)</t>
  </si>
  <si>
    <t>Trigon</t>
  </si>
  <si>
    <t>WELL-TECH</t>
  </si>
  <si>
    <t>Wing Wai</t>
  </si>
  <si>
    <t>Yuilly</t>
  </si>
  <si>
    <t>Customer Satisfaction Survey 2021 Check List ( By Telephone on 17 August 2021 )</t>
    <phoneticPr fontId="2" type="noConversion"/>
  </si>
  <si>
    <t>Customers are select from the highest outstanding A/R as at End June 2021</t>
    <phoneticPr fontId="2" type="noConversion"/>
  </si>
  <si>
    <t>Maxna</t>
  </si>
  <si>
    <t>Metro Benefit</t>
  </si>
  <si>
    <t>Z - Walk In</t>
  </si>
  <si>
    <t>佳記</t>
  </si>
  <si>
    <t>建興</t>
  </si>
  <si>
    <t>晟名(Macau)</t>
  </si>
  <si>
    <t>Customers are select from the highest outstanding A/R as at End June 2022</t>
  </si>
  <si>
    <t>34 customers out of 50 answered the questions on phone, achieved 68%</t>
  </si>
  <si>
    <t>Customer Satisfaction Survey 2023 Check List ( By Telephone on 19 August 2022 )</t>
    <phoneticPr fontId="12"/>
  </si>
  <si>
    <t>Customer Satisfaction Survey 2023 Check List ( By Telephone on 15 September 2023 )</t>
    <phoneticPr fontId="12"/>
  </si>
  <si>
    <t>Customers are select from the highest outstanding A/R as at End August 2024</t>
    <phoneticPr fontId="12"/>
  </si>
  <si>
    <t>36 customers out of 50 answered the questions on phone, achieved 72%</t>
    <phoneticPr fontId="12"/>
  </si>
  <si>
    <t>Customer Satisfaction Survey 2024 Check List ( By Telephone on 6 September 2024 )</t>
    <phoneticPr fontId="12"/>
  </si>
  <si>
    <t>Customer Satisfaction Survey 2025 Check List ( By Telephone on 6 September 2025)</t>
    <phoneticPr fontId="12"/>
  </si>
  <si>
    <t>A0045</t>
  </si>
  <si>
    <t>AID Ltd.</t>
  </si>
  <si>
    <t>A0074</t>
  </si>
  <si>
    <t>Airbond EngineeringLimited</t>
  </si>
  <si>
    <t>B0067</t>
  </si>
  <si>
    <t>Buildwin EngineeringCompany Limited</t>
  </si>
  <si>
    <t>C0002</t>
  </si>
  <si>
    <t>Cemac (Hong Kong) Ltd.,</t>
  </si>
  <si>
    <t>C0052</t>
  </si>
  <si>
    <t>Chin Yip CeilingEngineering Company</t>
  </si>
  <si>
    <t>C0081</t>
  </si>
  <si>
    <t>Concord ConsultantsLimited</t>
  </si>
  <si>
    <t>C0107</t>
  </si>
  <si>
    <t>Chill group companylimited</t>
  </si>
  <si>
    <t>C1127</t>
  </si>
  <si>
    <t>Creativo Design &amp;Contracting Co., Ltd.</t>
  </si>
  <si>
    <t>D0002</t>
  </si>
  <si>
    <t>Dickson InteriorConstruction Co. Ltd.</t>
  </si>
  <si>
    <t>D0024</t>
  </si>
  <si>
    <t>DEE Building MaterialLimited</t>
  </si>
  <si>
    <t>F0053</t>
  </si>
  <si>
    <t>Fine Point Ceiling &amp;Construction Matls. Ltd.(友邦天花)</t>
  </si>
  <si>
    <t>G0010</t>
  </si>
  <si>
    <t>GrandPrix InteriorContract &amp; Eng. Co., Ltd.</t>
  </si>
  <si>
    <t>G0016</t>
  </si>
  <si>
    <t>Goodwill Engineering(H.K.) Co., Ltd.</t>
  </si>
  <si>
    <t>G0066</t>
  </si>
  <si>
    <t>Great Spirit ConstructionLimited</t>
  </si>
  <si>
    <t>G047</t>
  </si>
  <si>
    <t>泓浩建築有限公司</t>
  </si>
  <si>
    <t>H0001</t>
  </si>
  <si>
    <t>Hong Kong ShanghaiBldg. Matls. Co. Ltd.,</t>
  </si>
  <si>
    <t>H0045</t>
  </si>
  <si>
    <t>Hin Tat EngineeringLimited</t>
  </si>
  <si>
    <t>H0089</t>
  </si>
  <si>
    <t>海聯建材有限公司</t>
  </si>
  <si>
    <t>H0098</t>
  </si>
  <si>
    <t>合生木材</t>
  </si>
  <si>
    <t>H0111</t>
  </si>
  <si>
    <t>恆益裝修工程有限公司</t>
  </si>
  <si>
    <t>H116</t>
  </si>
  <si>
    <t>Hang Yik DecorationCompany Limited</t>
    <phoneticPr fontId="12"/>
  </si>
  <si>
    <t>I0010</t>
  </si>
  <si>
    <t>IBI Limited</t>
  </si>
  <si>
    <t>I0029</t>
  </si>
  <si>
    <t>INK Construction Ltd. (勵昇)</t>
  </si>
  <si>
    <t>J0031</t>
  </si>
  <si>
    <t>Jeb International Limited</t>
  </si>
  <si>
    <t>K0004</t>
  </si>
  <si>
    <t>Kingbird Co. Ltd.,</t>
  </si>
  <si>
    <t>K0091</t>
  </si>
  <si>
    <t>Kwan Shing EngineeringCo. Ltd.</t>
  </si>
  <si>
    <t>L0002</t>
  </si>
  <si>
    <t>Lee Woon Engineering Co.Ltd.</t>
  </si>
  <si>
    <t>L0007</t>
  </si>
  <si>
    <t>Listo Enterprises Co. Ltd.,</t>
  </si>
  <si>
    <t>L0021</t>
  </si>
  <si>
    <t>Lyon Engineering Co. Ltd.</t>
  </si>
  <si>
    <t>L0041</t>
  </si>
  <si>
    <t>Lucky Wide Engineering(HK) Ltd.</t>
  </si>
  <si>
    <t>L0055</t>
  </si>
  <si>
    <t>鑫鴻工程一人有限公司</t>
  </si>
  <si>
    <t>M0015</t>
  </si>
  <si>
    <t>Metro Benefit Asia Ltd.</t>
  </si>
  <si>
    <t>M0081</t>
  </si>
  <si>
    <t>Mattex Asia DevelopmentLimited</t>
  </si>
  <si>
    <t>M0083</t>
  </si>
  <si>
    <t>Metro Benefit EngineeringLtd.</t>
  </si>
  <si>
    <t>M0087</t>
  </si>
  <si>
    <t>Macros ConstructionLimited</t>
  </si>
  <si>
    <t>M0092</t>
  </si>
  <si>
    <t>Metalix pte. Ltd</t>
  </si>
  <si>
    <t>M0094</t>
  </si>
  <si>
    <t>Macau Tovin Engineeringand Materials co. Ltd.</t>
  </si>
  <si>
    <t>N0037</t>
  </si>
  <si>
    <t>New World Sense Limited</t>
  </si>
  <si>
    <t>O0020</t>
  </si>
  <si>
    <t>On Tai EngineeringLimited</t>
  </si>
  <si>
    <t>P0058</t>
  </si>
  <si>
    <t>Po Li O Engineering &amp;Material Supplies Co.,(Macau) Ltd.</t>
  </si>
  <si>
    <t>P0073</t>
  </si>
  <si>
    <t>Po Ying ConstructionMaterials Ltd.</t>
  </si>
  <si>
    <t>P0078</t>
  </si>
  <si>
    <t>Phoenix DecorationEngineering Limited</t>
  </si>
  <si>
    <t>P0087</t>
  </si>
  <si>
    <t>Pyrotech Engineering(Asia) Limited</t>
  </si>
  <si>
    <t>R0032</t>
  </si>
  <si>
    <t>Right Engineering Ltd,</t>
  </si>
  <si>
    <t>R0035</t>
  </si>
  <si>
    <t>Riseship Construction Co.,Ltd</t>
  </si>
  <si>
    <t>S0157</t>
  </si>
  <si>
    <t>Shuning BuildingMaterials &amp; EngineeringLimited</t>
  </si>
  <si>
    <t>S0171</t>
  </si>
  <si>
    <t>Sun Hang ShingConstruction &amp; DecorationCo. Ltd.</t>
  </si>
  <si>
    <t>S0177</t>
  </si>
  <si>
    <t>SLD Contracting Limited</t>
  </si>
  <si>
    <t>S0185</t>
  </si>
  <si>
    <t>Sung Wah EngineeringLimited</t>
  </si>
  <si>
    <t>T0001</t>
  </si>
  <si>
    <t>Tin Bo Construction Matl.Co. Ltd.,</t>
  </si>
  <si>
    <t>Customers are select from the highest outstanding A/R as at End September 2025</t>
    <phoneticPr fontId="12"/>
  </si>
  <si>
    <t>40 customers out of 50 answered the questions on phone, achieved 80%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</si>
</sst>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76" formatCode="_(* #,##0.00_);_(* \(#,##0.00\);_(* &quot;-&quot;_);_(@_)"/>
    <numFmt numFmtId="177" formatCode="_(* #,##0_);_(* \(#,##0\);_(* &quot;-&quot;??_);_(@_)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新細明體"/>
      <family val="1"/>
      <charset val="136"/>
    </font>
    <font>
      <sz val="11"/>
      <name val="Times New Roman"/>
      <family val="1"/>
    </font>
    <font>
      <b/>
      <sz val="12"/>
      <name val="新細明體"/>
      <family val="1"/>
      <charset val="136"/>
    </font>
    <font>
      <b/>
      <sz val="14"/>
      <name val="新細明體"/>
      <family val="1"/>
      <charset val="136"/>
    </font>
    <font>
      <sz val="12"/>
      <color rgb="FFFF0000"/>
      <name val="Times New Roman"/>
      <family val="1"/>
    </font>
    <font>
      <sz val="6"/>
      <name val="BIZ UDMincho Medium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1" xfId="2" applyFont="1" applyBorder="1" applyAlignment="1">
      <alignment horizontal="center"/>
    </xf>
    <xf numFmtId="176" fontId="3" fillId="0" borderId="1" xfId="2" applyNumberFormat="1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2" xfId="2" applyFont="1" applyBorder="1" applyAlignment="1">
      <alignment horizontal="center"/>
    </xf>
    <xf numFmtId="176" fontId="3" fillId="0" borderId="2" xfId="2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textRotation="90" wrapText="1"/>
    </xf>
    <xf numFmtId="41" fontId="3" fillId="2" borderId="1" xfId="2" applyFont="1" applyFill="1" applyBorder="1" applyAlignment="1">
      <alignment horizontal="center"/>
    </xf>
    <xf numFmtId="176" fontId="3" fillId="2" borderId="1" xfId="2" applyNumberFormat="1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41" fontId="3" fillId="0" borderId="1" xfId="2" applyFont="1" applyBorder="1" applyAlignment="1"/>
    <xf numFmtId="41" fontId="3" fillId="2" borderId="1" xfId="2" applyFont="1" applyFill="1" applyBorder="1" applyAlignment="1"/>
    <xf numFmtId="0" fontId="3" fillId="0" borderId="3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textRotation="90" wrapText="1"/>
    </xf>
    <xf numFmtId="41" fontId="3" fillId="0" borderId="5" xfId="2" applyFont="1" applyBorder="1" applyAlignment="1">
      <alignment horizontal="center"/>
    </xf>
    <xf numFmtId="176" fontId="3" fillId="0" borderId="4" xfId="2" applyNumberFormat="1" applyFont="1" applyBorder="1" applyAlignment="1"/>
    <xf numFmtId="41" fontId="3" fillId="0" borderId="4" xfId="2" applyFont="1" applyBorder="1" applyAlignment="1"/>
    <xf numFmtId="41" fontId="3" fillId="2" borderId="4" xfId="2" applyFont="1" applyFill="1" applyBorder="1" applyAlignment="1"/>
    <xf numFmtId="9" fontId="3" fillId="0" borderId="0" xfId="3" applyFont="1" applyAlignment="1">
      <alignment horizontal="center" vertical="center"/>
    </xf>
    <xf numFmtId="9" fontId="3" fillId="0" borderId="0" xfId="3" applyFont="1">
      <alignment vertical="center"/>
    </xf>
    <xf numFmtId="9" fontId="4" fillId="0" borderId="6" xfId="3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1" fontId="3" fillId="0" borderId="0" xfId="2" applyFont="1" applyFill="1" applyBorder="1" applyAlignment="1">
      <alignment horizontal="center"/>
    </xf>
    <xf numFmtId="176" fontId="3" fillId="0" borderId="0" xfId="2" applyNumberFormat="1" applyFont="1" applyFill="1" applyBorder="1" applyAlignment="1"/>
    <xf numFmtId="41" fontId="3" fillId="0" borderId="0" xfId="2" applyFont="1" applyFill="1" applyBorder="1" applyAlignment="1"/>
    <xf numFmtId="0" fontId="3" fillId="0" borderId="7" xfId="0" applyFont="1" applyBorder="1" applyAlignment="1">
      <alignment horizontal="center" textRotation="90" wrapText="1"/>
    </xf>
    <xf numFmtId="41" fontId="3" fillId="0" borderId="8" xfId="2" applyFont="1" applyFill="1" applyBorder="1" applyAlignment="1">
      <alignment horizontal="center"/>
    </xf>
    <xf numFmtId="176" fontId="3" fillId="0" borderId="7" xfId="2" applyNumberFormat="1" applyFont="1" applyFill="1" applyBorder="1" applyAlignment="1"/>
    <xf numFmtId="41" fontId="3" fillId="0" borderId="7" xfId="2" applyFont="1" applyFill="1" applyBorder="1" applyAlignment="1"/>
    <xf numFmtId="41" fontId="3" fillId="0" borderId="9" xfId="2" applyFont="1" applyFill="1" applyBorder="1" applyAlignment="1"/>
    <xf numFmtId="0" fontId="3" fillId="0" borderId="9" xfId="0" applyFont="1" applyBorder="1" applyAlignment="1">
      <alignment horizontal="center" vertical="center"/>
    </xf>
    <xf numFmtId="41" fontId="3" fillId="0" borderId="2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176" fontId="3" fillId="0" borderId="1" xfId="2" applyNumberFormat="1" applyFont="1" applyFill="1" applyBorder="1" applyAlignment="1"/>
    <xf numFmtId="176" fontId="3" fillId="0" borderId="4" xfId="2" applyNumberFormat="1" applyFont="1" applyFill="1" applyBorder="1" applyAlignment="1"/>
    <xf numFmtId="41" fontId="3" fillId="0" borderId="4" xfId="2" applyFont="1" applyFill="1" applyBorder="1" applyAlignment="1"/>
    <xf numFmtId="41" fontId="3" fillId="0" borderId="1" xfId="2" applyFont="1" applyFill="1" applyBorder="1" applyAlignment="1"/>
    <xf numFmtId="9" fontId="3" fillId="0" borderId="0" xfId="3" applyFont="1" applyFill="1">
      <alignment vertical="center"/>
    </xf>
    <xf numFmtId="9" fontId="3" fillId="0" borderId="0" xfId="3" applyFont="1" applyFill="1" applyAlignment="1">
      <alignment horizontal="center" vertical="center"/>
    </xf>
    <xf numFmtId="9" fontId="4" fillId="0" borderId="6" xfId="3" applyFont="1" applyFill="1" applyBorder="1" applyAlignment="1">
      <alignment horizontal="center" vertical="center"/>
    </xf>
    <xf numFmtId="41" fontId="3" fillId="3" borderId="2" xfId="2" applyFont="1" applyFill="1" applyBorder="1" applyAlignment="1">
      <alignment horizontal="center"/>
    </xf>
    <xf numFmtId="176" fontId="3" fillId="3" borderId="2" xfId="2" applyNumberFormat="1" applyFont="1" applyFill="1" applyBorder="1" applyAlignment="1"/>
    <xf numFmtId="41" fontId="3" fillId="3" borderId="5" xfId="2" applyFont="1" applyFill="1" applyBorder="1" applyAlignment="1">
      <alignment horizontal="center"/>
    </xf>
    <xf numFmtId="41" fontId="3" fillId="3" borderId="8" xfId="2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1" fontId="3" fillId="0" borderId="5" xfId="2" applyFont="1" applyFill="1" applyBorder="1" applyAlignment="1">
      <alignment horizontal="center"/>
    </xf>
    <xf numFmtId="176" fontId="3" fillId="0" borderId="4" xfId="2" applyNumberFormat="1" applyFont="1" applyFill="1" applyBorder="1" applyAlignment="1">
      <alignment horizontal="center"/>
    </xf>
    <xf numFmtId="41" fontId="3" fillId="0" borderId="4" xfId="2" applyFont="1" applyFill="1" applyBorder="1" applyAlignment="1">
      <alignment horizontal="center"/>
    </xf>
    <xf numFmtId="41" fontId="3" fillId="3" borderId="1" xfId="2" applyFont="1" applyFill="1" applyBorder="1" applyAlignment="1">
      <alignment horizontal="center"/>
    </xf>
    <xf numFmtId="41" fontId="3" fillId="3" borderId="4" xfId="2" applyFont="1" applyFill="1" applyBorder="1" applyAlignment="1">
      <alignment horizontal="center"/>
    </xf>
    <xf numFmtId="0" fontId="6" fillId="0" borderId="1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center" textRotation="90" wrapText="1"/>
    </xf>
    <xf numFmtId="43" fontId="4" fillId="0" borderId="0" xfId="1" applyFont="1" applyFill="1" applyAlignment="1">
      <alignment horizontal="left" vertical="center"/>
    </xf>
    <xf numFmtId="43" fontId="4" fillId="0" borderId="0" xfId="1" applyFont="1" applyFill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37" fontId="3" fillId="0" borderId="14" xfId="2" applyNumberFormat="1" applyFont="1" applyFill="1" applyBorder="1" applyAlignment="1">
      <alignment horizontal="center"/>
    </xf>
    <xf numFmtId="37" fontId="3" fillId="0" borderId="15" xfId="2" applyNumberFormat="1" applyFont="1" applyFill="1" applyBorder="1" applyAlignment="1">
      <alignment horizontal="center"/>
    </xf>
    <xf numFmtId="37" fontId="3" fillId="0" borderId="2" xfId="2" applyNumberFormat="1" applyFont="1" applyFill="1" applyBorder="1" applyAlignment="1">
      <alignment horizontal="center"/>
    </xf>
    <xf numFmtId="176" fontId="7" fillId="0" borderId="1" xfId="2" applyNumberFormat="1" applyFont="1" applyBorder="1" applyAlignment="1"/>
    <xf numFmtId="176" fontId="7" fillId="0" borderId="1" xfId="2" applyNumberFormat="1" applyFont="1" applyFill="1" applyBorder="1" applyAlignment="1"/>
    <xf numFmtId="176" fontId="8" fillId="0" borderId="1" xfId="2" applyNumberFormat="1" applyFont="1" applyFill="1" applyBorder="1" applyAlignment="1"/>
    <xf numFmtId="176" fontId="7" fillId="3" borderId="1" xfId="2" applyNumberFormat="1" applyFont="1" applyFill="1" applyBorder="1" applyAlignment="1"/>
    <xf numFmtId="176" fontId="8" fillId="3" borderId="1" xfId="2" applyNumberFormat="1" applyFont="1" applyFill="1" applyBorder="1" applyAlignment="1"/>
    <xf numFmtId="41" fontId="3" fillId="5" borderId="1" xfId="2" applyFont="1" applyFill="1" applyBorder="1" applyAlignment="1">
      <alignment horizontal="center"/>
    </xf>
    <xf numFmtId="176" fontId="7" fillId="5" borderId="1" xfId="2" applyNumberFormat="1" applyFont="1" applyFill="1" applyBorder="1" applyAlignment="1"/>
    <xf numFmtId="41" fontId="3" fillId="5" borderId="4" xfId="2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2" xfId="2" applyFont="1" applyFill="1" applyBorder="1" applyAlignment="1">
      <alignment horizontal="center"/>
    </xf>
    <xf numFmtId="41" fontId="3" fillId="5" borderId="5" xfId="2" applyFont="1" applyFill="1" applyBorder="1" applyAlignment="1">
      <alignment horizontal="center"/>
    </xf>
    <xf numFmtId="176" fontId="8" fillId="5" borderId="1" xfId="2" applyNumberFormat="1" applyFont="1" applyFill="1" applyBorder="1" applyAlignment="1"/>
    <xf numFmtId="0" fontId="3" fillId="0" borderId="3" xfId="0" applyFont="1" applyBorder="1" applyAlignment="1">
      <alignment textRotation="90" wrapText="1"/>
    </xf>
    <xf numFmtId="0" fontId="3" fillId="0" borderId="1" xfId="0" applyFont="1" applyBorder="1" applyAlignment="1">
      <alignment textRotation="90" wrapText="1"/>
    </xf>
    <xf numFmtId="0" fontId="6" fillId="0" borderId="1" xfId="0" applyFont="1" applyBorder="1" applyAlignment="1">
      <alignment horizontal="center" vertical="center" textRotation="255" wrapText="1"/>
    </xf>
    <xf numFmtId="0" fontId="6" fillId="0" borderId="4" xfId="0" applyFont="1" applyBorder="1" applyAlignment="1">
      <alignment horizontal="center" vertical="center" textRotation="255" wrapText="1"/>
    </xf>
    <xf numFmtId="0" fontId="5" fillId="6" borderId="0" xfId="0" applyFont="1" applyFill="1" applyAlignment="1">
      <alignment horizontal="left"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6" fillId="6" borderId="1" xfId="0" applyFont="1" applyFill="1" applyBorder="1" applyAlignment="1">
      <alignment horizontal="center" vertical="center" textRotation="255" wrapText="1"/>
    </xf>
    <xf numFmtId="0" fontId="6" fillId="6" borderId="4" xfId="0" applyFont="1" applyFill="1" applyBorder="1" applyAlignment="1">
      <alignment horizontal="center" vertical="center" textRotation="255" wrapText="1"/>
    </xf>
    <xf numFmtId="0" fontId="3" fillId="6" borderId="3" xfId="0" applyFont="1" applyFill="1" applyBorder="1" applyAlignment="1">
      <alignment textRotation="90" wrapText="1"/>
    </xf>
    <xf numFmtId="0" fontId="3" fillId="6" borderId="1" xfId="0" applyFont="1" applyFill="1" applyBorder="1" applyAlignment="1">
      <alignment textRotation="90" wrapText="1"/>
    </xf>
    <xf numFmtId="41" fontId="3" fillId="6" borderId="2" xfId="2" applyFont="1" applyFill="1" applyBorder="1" applyAlignment="1">
      <alignment horizontal="center"/>
    </xf>
    <xf numFmtId="176" fontId="7" fillId="6" borderId="1" xfId="2" applyNumberFormat="1" applyFont="1" applyFill="1" applyBorder="1" applyAlignment="1"/>
    <xf numFmtId="0" fontId="3" fillId="6" borderId="3" xfId="0" applyFont="1" applyFill="1" applyBorder="1" applyAlignment="1">
      <alignment horizontal="center" vertical="center"/>
    </xf>
    <xf numFmtId="41" fontId="3" fillId="6" borderId="1" xfId="2" applyFont="1" applyFill="1" applyBorder="1" applyAlignment="1">
      <alignment horizontal="center"/>
    </xf>
    <xf numFmtId="176" fontId="8" fillId="6" borderId="1" xfId="2" applyNumberFormat="1" applyFont="1" applyFill="1" applyBorder="1" applyAlignment="1"/>
    <xf numFmtId="41" fontId="3" fillId="6" borderId="0" xfId="2" applyFont="1" applyFill="1" applyBorder="1" applyAlignment="1">
      <alignment horizontal="center"/>
    </xf>
    <xf numFmtId="176" fontId="3" fillId="6" borderId="0" xfId="2" applyNumberFormat="1" applyFont="1" applyFill="1" applyBorder="1" applyAlignment="1"/>
    <xf numFmtId="9" fontId="3" fillId="6" borderId="0" xfId="3" applyFont="1" applyFill="1" applyAlignment="1">
      <alignment horizontal="center" vertical="center"/>
    </xf>
    <xf numFmtId="37" fontId="3" fillId="6" borderId="14" xfId="2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37" fontId="3" fillId="6" borderId="15" xfId="2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37" fontId="3" fillId="6" borderId="2" xfId="2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9" fontId="4" fillId="6" borderId="6" xfId="3" applyFont="1" applyFill="1" applyBorder="1" applyAlignment="1">
      <alignment horizontal="center" vertical="center"/>
    </xf>
    <xf numFmtId="43" fontId="4" fillId="6" borderId="0" xfId="1" applyFont="1" applyFill="1" applyAlignment="1">
      <alignment horizontal="left" vertical="center"/>
    </xf>
    <xf numFmtId="43" fontId="4" fillId="6" borderId="0" xfId="1" applyFont="1" applyFill="1">
      <alignment vertical="center"/>
    </xf>
    <xf numFmtId="0" fontId="3" fillId="0" borderId="1" xfId="2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3" applyFont="1" applyBorder="1" applyAlignment="1">
      <alignment horizontal="center"/>
    </xf>
    <xf numFmtId="0" fontId="3" fillId="5" borderId="1" xfId="2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9" fontId="3" fillId="0" borderId="1" xfId="3" applyFont="1" applyFill="1" applyBorder="1" applyAlignment="1">
      <alignment horizontal="center"/>
    </xf>
    <xf numFmtId="41" fontId="3" fillId="0" borderId="1" xfId="2" applyFont="1" applyBorder="1" applyAlignment="1">
      <alignment horizontal="left"/>
    </xf>
    <xf numFmtId="41" fontId="11" fillId="0" borderId="1" xfId="2" applyFont="1" applyBorder="1" applyAlignment="1">
      <alignment horizontal="left"/>
    </xf>
    <xf numFmtId="0" fontId="4" fillId="0" borderId="3" xfId="0" applyFont="1" applyBorder="1" applyAlignment="1">
      <alignment textRotation="90" wrapText="1"/>
    </xf>
    <xf numFmtId="0" fontId="4" fillId="0" borderId="1" xfId="0" applyFont="1" applyBorder="1" applyAlignment="1">
      <alignment textRotation="90" wrapText="1"/>
    </xf>
    <xf numFmtId="41" fontId="3" fillId="5" borderId="1" xfId="2" applyFont="1" applyFill="1" applyBorder="1" applyAlignment="1">
      <alignment horizontal="left"/>
    </xf>
    <xf numFmtId="41" fontId="11" fillId="5" borderId="1" xfId="2" applyFont="1" applyFill="1" applyBorder="1" applyAlignment="1">
      <alignment horizontal="left"/>
    </xf>
    <xf numFmtId="43" fontId="4" fillId="7" borderId="0" xfId="1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>
      <alignment vertical="center"/>
    </xf>
    <xf numFmtId="43" fontId="4" fillId="7" borderId="0" xfId="1" applyFont="1" applyFill="1">
      <alignment vertical="center"/>
    </xf>
    <xf numFmtId="41" fontId="11" fillId="0" borderId="1" xfId="2" applyFont="1" applyFill="1" applyBorder="1" applyAlignment="1">
      <alignment horizontal="left"/>
    </xf>
    <xf numFmtId="41" fontId="3" fillId="0" borderId="1" xfId="2" applyFont="1" applyFill="1" applyBorder="1" applyAlignment="1">
      <alignment horizontal="left"/>
    </xf>
    <xf numFmtId="9" fontId="4" fillId="5" borderId="6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16" xfId="0" applyBorder="1" applyAlignment="1">
      <alignment horizontal="center"/>
    </xf>
    <xf numFmtId="0" fontId="0" fillId="0" borderId="16" xfId="0" applyBorder="1" applyAlignment="1"/>
    <xf numFmtId="9" fontId="1" fillId="0" borderId="0" xfId="3" applyAlignment="1">
      <alignment horizontal="center" vertical="center"/>
    </xf>
    <xf numFmtId="0" fontId="9" fillId="4" borderId="17" xfId="0" applyFont="1" applyFill="1" applyBorder="1">
      <alignment vertical="center"/>
    </xf>
    <xf numFmtId="0" fontId="4" fillId="4" borderId="18" xfId="0" applyFont="1" applyFill="1" applyBorder="1" applyAlignment="1">
      <alignment horizontal="right" vertical="center"/>
    </xf>
    <xf numFmtId="1" fontId="9" fillId="4" borderId="3" xfId="0" applyNumberFormat="1" applyFont="1" applyFill="1" applyBorder="1">
      <alignment vertical="center"/>
    </xf>
    <xf numFmtId="0" fontId="9" fillId="0" borderId="1" xfId="0" applyFont="1" applyBorder="1" applyAlignment="1">
      <alignment horizontal="center"/>
    </xf>
    <xf numFmtId="9" fontId="1" fillId="0" borderId="1" xfId="3" applyFill="1" applyBorder="1" applyAlignment="1">
      <alignment horizontal="center"/>
    </xf>
    <xf numFmtId="9" fontId="1" fillId="0" borderId="0" xfId="3" applyAlignment="1"/>
    <xf numFmtId="0" fontId="4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1" fillId="0" borderId="0" xfId="3" applyAlignment="1">
      <alignment horizontal="center"/>
    </xf>
    <xf numFmtId="0" fontId="10" fillId="0" borderId="0" xfId="0" applyFont="1" applyAlignment="1"/>
    <xf numFmtId="43" fontId="3" fillId="0" borderId="1" xfId="1" applyFont="1" applyBorder="1" applyAlignment="1"/>
    <xf numFmtId="9" fontId="1" fillId="0" borderId="0" xfId="3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1" fillId="0" borderId="0" xfId="3" applyBorder="1" applyAlignment="1">
      <alignment horizontal="center"/>
    </xf>
    <xf numFmtId="43" fontId="3" fillId="5" borderId="1" xfId="1" applyFont="1" applyFill="1" applyBorder="1" applyAlignment="1"/>
    <xf numFmtId="0" fontId="0" fillId="0" borderId="1" xfId="0" applyBorder="1" applyAlignment="1"/>
    <xf numFmtId="0" fontId="3" fillId="0" borderId="0" xfId="0" applyFont="1" applyAlignment="1"/>
    <xf numFmtId="9" fontId="1" fillId="0" borderId="0" xfId="3" applyFill="1" applyBorder="1" applyAlignment="1">
      <alignment horizontal="center"/>
    </xf>
    <xf numFmtId="9" fontId="1" fillId="0" borderId="1" xfId="3" applyBorder="1" applyAlignment="1"/>
    <xf numFmtId="9" fontId="0" fillId="0" borderId="0" xfId="0" applyNumberFormat="1" applyAlignment="1"/>
    <xf numFmtId="43" fontId="3" fillId="0" borderId="1" xfId="1" applyFont="1" applyFill="1" applyBorder="1" applyAlignment="1"/>
    <xf numFmtId="177" fontId="1" fillId="0" borderId="0" xfId="1" applyNumberForma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3" fillId="5" borderId="1" xfId="1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/>
    </xf>
    <xf numFmtId="0" fontId="3" fillId="5" borderId="4" xfId="1" applyNumberFormat="1" applyFont="1" applyFill="1" applyBorder="1" applyAlignment="1">
      <alignment horizontal="center"/>
    </xf>
    <xf numFmtId="0" fontId="3" fillId="0" borderId="4" xfId="1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43" fontId="4" fillId="0" borderId="0" xfId="1" applyFont="1" applyFill="1" applyBorder="1" applyAlignment="1">
      <alignment horizontal="left" vertical="center"/>
    </xf>
    <xf numFmtId="0" fontId="3" fillId="0" borderId="22" xfId="0" applyFont="1" applyBorder="1">
      <alignment vertical="center"/>
    </xf>
    <xf numFmtId="43" fontId="4" fillId="0" borderId="0" xfId="1" applyFont="1" applyFill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43" fontId="4" fillId="0" borderId="26" xfId="1" applyFont="1" applyFill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0" xfId="0" applyFont="1" applyBorder="1">
      <alignment vertical="center"/>
    </xf>
    <xf numFmtId="0" fontId="8" fillId="0" borderId="0" xfId="0" applyFont="1" applyAlignment="1"/>
    <xf numFmtId="0" fontId="3" fillId="6" borderId="4" xfId="1" applyNumberFormat="1" applyFont="1" applyFill="1" applyBorder="1" applyAlignment="1">
      <alignment horizontal="center"/>
    </xf>
    <xf numFmtId="0" fontId="3" fillId="6" borderId="1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1" fontId="3" fillId="0" borderId="17" xfId="2" applyFont="1" applyFill="1" applyBorder="1" applyAlignment="1">
      <alignment horizontal="center"/>
    </xf>
    <xf numFmtId="41" fontId="3" fillId="0" borderId="18" xfId="2" applyFont="1" applyFill="1" applyBorder="1" applyAlignment="1">
      <alignment horizontal="center"/>
    </xf>
    <xf numFmtId="41" fontId="3" fillId="0" borderId="3" xfId="2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41" fontId="3" fillId="6" borderId="17" xfId="2" applyFont="1" applyFill="1" applyBorder="1" applyAlignment="1">
      <alignment horizontal="center"/>
    </xf>
    <xf numFmtId="41" fontId="3" fillId="6" borderId="18" xfId="2" applyFont="1" applyFill="1" applyBorder="1" applyAlignment="1">
      <alignment horizontal="center"/>
    </xf>
    <xf numFmtId="41" fontId="3" fillId="6" borderId="3" xfId="2" applyFont="1" applyFill="1" applyBorder="1" applyAlignment="1">
      <alignment horizontal="center"/>
    </xf>
    <xf numFmtId="41" fontId="3" fillId="0" borderId="1" xfId="2" quotePrefix="1" applyFont="1" applyBorder="1" applyAlignment="1">
      <alignment horizontal="center" vertical="center"/>
    </xf>
    <xf numFmtId="41" fontId="3" fillId="0" borderId="1" xfId="2" applyFont="1" applyFill="1" applyBorder="1" applyAlignment="1">
      <alignment horizontal="center"/>
    </xf>
    <xf numFmtId="37" fontId="3" fillId="0" borderId="1" xfId="2" applyNumberFormat="1" applyFont="1" applyFill="1" applyBorder="1" applyAlignment="1">
      <alignment horizontal="center"/>
    </xf>
  </cellXfs>
  <cellStyles count="4">
    <cellStyle name="一般" xfId="0" builtinId="0"/>
    <cellStyle name="千分位" xfId="1" builtinId="3"/>
    <cellStyle name="千分位[0]" xfId="2" builtinId="6"/>
    <cellStyle name="百分比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E-1E49-BBF7-D7F4A6EF66D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E-1E49-BBF7-D7F4A6EF66D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4E-1E49-BBF7-D7F4A6EF66D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4E-1E49-BBF7-D7F4A6EF66D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4E-1E49-BBF7-D7F4A6EF66DF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4E-1E49-BBF7-D7F4A6EF66DF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4E-1E49-BBF7-D7F4A6EF6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1-334D-BEA5-2B492F0DCF1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1-334D-BEA5-2B492F0DCF10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91-334D-BEA5-2B492F0DCF10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91-334D-BEA5-2B492F0DCF10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91-334D-BEA5-2B492F0DCF10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91-334D-BEA5-2B492F0DCF10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91-334D-BEA5-2B492F0DC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F-49FF-9A5E-3E09EA57179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F-49FF-9A5E-3E09EA57179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F-49FF-9A5E-3E09EA57179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F-49FF-9A5E-3E09EA57179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F-49FF-9A5E-3E09EA571791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6F-49FF-9A5E-3E09EA571791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6F-49FF-9A5E-3E09EA571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5-4AAC-A5E1-EC96112EC54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5-4AAC-A5E1-EC96112EC54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5-4AAC-A5E1-EC96112EC54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65-4AAC-A5E1-EC96112EC54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65-4AAC-A5E1-EC96112EC54D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65-4AAC-A5E1-EC96112EC54D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65-4AAC-A5E1-EC96112EC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4-44D1-98BA-11657EDA9FB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4-44D1-98BA-11657EDA9FB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4-44D1-98BA-11657EDA9FB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4-44D1-98BA-11657EDA9FB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4-44D1-98BA-11657EDA9FB1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24-44D1-98BA-11657EDA9FB1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24-44D1-98BA-11657EDA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3-4DF0-A51A-A73A69DA916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3-4DF0-A51A-A73A69DA916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3-4DF0-A51A-A73A69DA9165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3-4DF0-A51A-A73A69DA9165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03-4DF0-A51A-A73A69DA9165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03-4DF0-A51A-A73A69DA9165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03-4DF0-A51A-A73A69DA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D-4184-AD7E-F9958F4355F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D-4184-AD7E-F9958F4355F7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D-4184-AD7E-F9958F4355F7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DD-4184-AD7E-F9958F4355F7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D-4184-AD7E-F9958F4355F7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DD-4184-AD7E-F9958F4355F7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D-4184-AD7E-F9958F435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749240"/>
        <c:axId val="1"/>
      </c:barChart>
      <c:catAx>
        <c:axId val="459749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459749240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72044720371499"/>
          <c:y val="0.25"/>
          <c:w val="0.12720409347869976"/>
          <c:h val="0.42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23425692695208E-2"/>
          <c:y val="7.0093457943925228E-2"/>
          <c:w val="0.76574307304785894"/>
          <c:h val="0.672897196261682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'[1]17'!$B$31:$B$38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A-49F9-A78C-035C4454661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'[1]17'!$C$31:$C$38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A-49F9-A78C-035C4454661C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'[1]17'!$D$31:$D$38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A-49F9-A78C-035C4454661C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'[1]17'!$E$31:$E$38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3A-49F9-A78C-035C4454661C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'[1]17'!$F$31:$F$38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3A-49F9-A78C-035C4454661C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'[1]17'!$G$31:$G$38</c:f>
              <c:numCache>
                <c:formatCode>General</c:formatCode>
                <c:ptCount val="8"/>
                <c:pt idx="0">
                  <c:v>0.14285714285714285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0.97142857142857142</c:v>
                </c:pt>
                <c:pt idx="4">
                  <c:v>0.68571428571428572</c:v>
                </c:pt>
                <c:pt idx="5">
                  <c:v>2.8571428571428571E-2</c:v>
                </c:pt>
                <c:pt idx="6">
                  <c:v>2.8571428571428571E-2</c:v>
                </c:pt>
                <c:pt idx="7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3A-49F9-A78C-035C4454661C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'[1]17'!$A$31:$A$38</c:f>
              <c:strCache>
                <c:ptCount val="8"/>
                <c:pt idx="0">
                  <c:v>Workmanship</c:v>
                </c:pt>
                <c:pt idx="1">
                  <c:v>Ease </c:v>
                </c:pt>
                <c:pt idx="2">
                  <c:v>Delivery</c:v>
                </c:pt>
                <c:pt idx="3">
                  <c:v>Pricing</c:v>
                </c:pt>
                <c:pt idx="4">
                  <c:v>Variety</c:v>
                </c:pt>
                <c:pt idx="5">
                  <c:v>Technical </c:v>
                </c:pt>
                <c:pt idx="6">
                  <c:v>Usefulness</c:v>
                </c:pt>
                <c:pt idx="7">
                  <c:v>Overall</c:v>
                </c:pt>
              </c:strCache>
            </c:strRef>
          </c:cat>
          <c:val>
            <c:numRef>
              <c:f>'[1]17'!$H$31:$H$38</c:f>
              <c:numCache>
                <c:formatCode>General</c:formatCode>
                <c:ptCount val="8"/>
                <c:pt idx="0">
                  <c:v>0.8571428571428571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2.8571428571428571E-2</c:v>
                </c:pt>
                <c:pt idx="4">
                  <c:v>0.31428571428571428</c:v>
                </c:pt>
                <c:pt idx="5">
                  <c:v>0.97142857142857142</c:v>
                </c:pt>
                <c:pt idx="6">
                  <c:v>0.97142857142857142</c:v>
                </c:pt>
                <c:pt idx="7">
                  <c:v>0.82857142857142863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3A-49F9-A78C-035C44546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63648"/>
        <c:axId val="1"/>
      </c:barChart>
      <c:catAx>
        <c:axId val="124363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ja-JP"/>
          </a:p>
        </c:txPr>
        <c:crossAx val="124363648"/>
        <c:crosses val="autoZero"/>
        <c:crossBetween val="between"/>
      </c:valAx>
      <c:spPr>
        <a:solidFill>
          <a:srgbClr val="FFFF99"/>
        </a:solidFill>
        <a:ln w="12700">
          <a:solidFill>
            <a:srgbClr val="FFFF99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272049519821592"/>
          <c:y val="0.25"/>
          <c:w val="0.9899245368895363"/>
          <c:h val="0.67056074766355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8824D539-4560-0D40-AF07-CDFC3B987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27</xdr:row>
      <xdr:rowOff>0</xdr:rowOff>
    </xdr:from>
    <xdr:to>
      <xdr:col>28</xdr:col>
      <xdr:colOff>85725</xdr:colOff>
      <xdr:row>46</xdr:row>
      <xdr:rowOff>95250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C75A75D-35C2-644A-A5AD-87927C3FC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16C1D5BB-2CF1-4187-93FD-6CED3EAAD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BB0B6625-D018-4F33-B234-0575681B5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44A924DB-B5B5-4266-8408-B55EEC99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A8335782-40B1-45DC-B7FC-427CD1ED0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0</xdr:rowOff>
    </xdr:from>
    <xdr:to>
      <xdr:col>27</xdr:col>
      <xdr:colOff>85725</xdr:colOff>
      <xdr:row>46</xdr:row>
      <xdr:rowOff>95250</xdr:rowOff>
    </xdr:to>
    <xdr:graphicFrame macro="">
      <xdr:nvGraphicFramePr>
        <xdr:cNvPr id="11276" name="圖表 2">
          <a:extLst>
            <a:ext uri="{FF2B5EF4-FFF2-40B4-BE49-F238E27FC236}">
              <a16:creationId xmlns:a16="http://schemas.microsoft.com/office/drawing/2014/main" id="{9A3484A9-65A1-44B0-B23A-97F809D37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27</xdr:row>
      <xdr:rowOff>28575</xdr:rowOff>
    </xdr:from>
    <xdr:to>
      <xdr:col>27</xdr:col>
      <xdr:colOff>409575</xdr:colOff>
      <xdr:row>46</xdr:row>
      <xdr:rowOff>123825</xdr:rowOff>
    </xdr:to>
    <xdr:graphicFrame macro="">
      <xdr:nvGraphicFramePr>
        <xdr:cNvPr id="1045" name="圖表 2">
          <a:extLst>
            <a:ext uri="{FF2B5EF4-FFF2-40B4-BE49-F238E27FC236}">
              <a16:creationId xmlns:a16="http://schemas.microsoft.com/office/drawing/2014/main" id="{EED22905-332C-4032-9373-BB6C5E48D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LEO%20Document/ISO/2000%20Version/Customer%20Satisfaction%20Survey/Customer%20Satisfaction%20Survey%20-%20Cha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LEO%20Document/ISO/2000%20Version/Customer%20Satisfaction%20Survey/Customer%20Satisfaction%20Survey%20-%20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"/>
      <sheetName val="16"/>
      <sheetName val="15"/>
      <sheetName val="14"/>
      <sheetName val="12"/>
      <sheetName val="11"/>
      <sheetName val="2010"/>
      <sheetName val="09"/>
      <sheetName val="07"/>
      <sheetName val="06"/>
      <sheetName val="05"/>
      <sheetName val="04"/>
      <sheetName val="03"/>
      <sheetName val="02"/>
      <sheetName val="Chart02"/>
      <sheetName val="6-02"/>
    </sheetNames>
    <sheetDataSet>
      <sheetData sheetId="0">
        <row r="31">
          <cell r="A31" t="str">
            <v>Workmanship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0.14285714285714285</v>
          </cell>
          <cell r="H31">
            <v>0.8571428571428571</v>
          </cell>
        </row>
        <row r="32">
          <cell r="A32" t="str">
            <v xml:space="preserve">Ease 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0.2857142857142857</v>
          </cell>
          <cell r="H32">
            <v>0.7142857142857143</v>
          </cell>
        </row>
        <row r="33">
          <cell r="A33" t="str">
            <v>Delivery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0.14285714285714285</v>
          </cell>
          <cell r="H33">
            <v>0.8571428571428571</v>
          </cell>
        </row>
        <row r="34">
          <cell r="A34" t="str">
            <v>Pricing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0.97142857142857142</v>
          </cell>
          <cell r="H34">
            <v>2.8571428571428571E-2</v>
          </cell>
        </row>
        <row r="35">
          <cell r="A35" t="str">
            <v>Variety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0.68571428571428572</v>
          </cell>
          <cell r="H35">
            <v>0.31428571428571428</v>
          </cell>
        </row>
        <row r="36">
          <cell r="A36" t="str">
            <v xml:space="preserve">Technical 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2.8571428571428571E-2</v>
          </cell>
          <cell r="H36">
            <v>0.97142857142857142</v>
          </cell>
        </row>
        <row r="37">
          <cell r="A37" t="str">
            <v>Usefulness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2.8571428571428571E-2</v>
          </cell>
          <cell r="H37">
            <v>0.97142857142857142</v>
          </cell>
        </row>
        <row r="38">
          <cell r="A38" t="str">
            <v>Overall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0.17142857142857143</v>
          </cell>
          <cell r="H38">
            <v>0.82857142857142863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-19"/>
      <sheetName val="7-18"/>
      <sheetName val="7-17"/>
      <sheetName val="7-16"/>
      <sheetName val="7-15"/>
      <sheetName val="7-14"/>
      <sheetName val="7-11"/>
      <sheetName val="7-10"/>
      <sheetName val="7-09"/>
      <sheetName val="7-07"/>
      <sheetName val="7-06"/>
      <sheetName val="7-05"/>
      <sheetName val="7-04"/>
      <sheetName val="7-7-03"/>
      <sheetName val="24-6-2002"/>
      <sheetName val="Temp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CDI (Macau)</v>
          </cell>
          <cell r="E4">
            <v>1</v>
          </cell>
        </row>
        <row r="5">
          <cell r="B5" t="str">
            <v>Cemac</v>
          </cell>
          <cell r="D5">
            <v>1</v>
          </cell>
        </row>
        <row r="6">
          <cell r="B6" t="str">
            <v>Chi Ko (Macau)</v>
          </cell>
        </row>
        <row r="7">
          <cell r="B7" t="str">
            <v>Colmat</v>
          </cell>
          <cell r="E7">
            <v>1</v>
          </cell>
        </row>
        <row r="8">
          <cell r="B8" t="str">
            <v>Fat Cheong</v>
          </cell>
          <cell r="D8">
            <v>1</v>
          </cell>
        </row>
        <row r="9">
          <cell r="B9" t="str">
            <v>Full Gold ( Macau)</v>
          </cell>
        </row>
        <row r="10">
          <cell r="B10" t="str">
            <v>H.K.Shanghai Building Mat'l (PG)</v>
          </cell>
          <cell r="D10">
            <v>1</v>
          </cell>
        </row>
        <row r="11">
          <cell r="B11" t="str">
            <v>Hip Shing</v>
          </cell>
          <cell r="D11">
            <v>1</v>
          </cell>
        </row>
        <row r="12">
          <cell r="B12" t="str">
            <v>Hoi Luen</v>
          </cell>
          <cell r="D12">
            <v>1</v>
          </cell>
        </row>
        <row r="13">
          <cell r="B13" t="str">
            <v>Hong Sang (Macau)</v>
          </cell>
        </row>
        <row r="14">
          <cell r="B14" t="str">
            <v>Kai Cheong</v>
          </cell>
          <cell r="D14">
            <v>1</v>
          </cell>
        </row>
        <row r="15">
          <cell r="B15" t="str">
            <v>Kassel Park (PG)</v>
          </cell>
          <cell r="D15">
            <v>1</v>
          </cell>
        </row>
        <row r="16">
          <cell r="B16" t="str">
            <v>Keep Born Ltd.</v>
          </cell>
          <cell r="D16">
            <v>1</v>
          </cell>
        </row>
        <row r="17">
          <cell r="B17" t="str">
            <v>Kingbird       (45days)</v>
          </cell>
          <cell r="D17">
            <v>1</v>
          </cell>
        </row>
        <row r="18">
          <cell r="B18" t="str">
            <v>Kwok Fung (PG) / Tung Sing</v>
          </cell>
          <cell r="D18">
            <v>1</v>
          </cell>
        </row>
        <row r="19">
          <cell r="B19" t="str">
            <v>Kwong Hing (Mr. Tam)</v>
          </cell>
          <cell r="D19">
            <v>1</v>
          </cell>
        </row>
        <row r="20">
          <cell r="B20" t="str">
            <v>Lee Woon</v>
          </cell>
          <cell r="D20">
            <v>1</v>
          </cell>
        </row>
        <row r="21">
          <cell r="B21" t="str">
            <v>Listo</v>
          </cell>
          <cell r="E21">
            <v>1</v>
          </cell>
        </row>
        <row r="22">
          <cell r="B22" t="str">
            <v>Lucky Wide</v>
          </cell>
          <cell r="D22">
            <v>1</v>
          </cell>
        </row>
        <row r="23">
          <cell r="B23" t="str">
            <v>Lyon</v>
          </cell>
          <cell r="D23">
            <v>1</v>
          </cell>
        </row>
        <row r="24">
          <cell r="B24" t="str">
            <v>Major Field</v>
          </cell>
          <cell r="D24">
            <v>1</v>
          </cell>
        </row>
        <row r="25">
          <cell r="B25" t="str">
            <v>Man Kin (Macau)</v>
          </cell>
          <cell r="E25">
            <v>1</v>
          </cell>
        </row>
        <row r="26">
          <cell r="B26" t="str">
            <v>Ming Fung</v>
          </cell>
        </row>
        <row r="27">
          <cell r="B27" t="str">
            <v>Ming Hing</v>
          </cell>
          <cell r="D27">
            <v>1</v>
          </cell>
        </row>
        <row r="28">
          <cell r="B28" t="str">
            <v>Perfect Profit</v>
          </cell>
          <cell r="D28">
            <v>1</v>
          </cell>
        </row>
        <row r="29">
          <cell r="B29" t="str">
            <v>Po Li O (Macau)</v>
          </cell>
        </row>
        <row r="30">
          <cell r="B30" t="str">
            <v>Rambo Const.</v>
          </cell>
          <cell r="D30">
            <v>1</v>
          </cell>
        </row>
        <row r="31">
          <cell r="B31" t="str">
            <v>Sam Bo (Macau)</v>
          </cell>
        </row>
        <row r="32">
          <cell r="B32" t="str">
            <v>San Cheong Long</v>
          </cell>
          <cell r="D32">
            <v>1</v>
          </cell>
        </row>
        <row r="33">
          <cell r="B33" t="str">
            <v>Sandic Eng. 9023 0033</v>
          </cell>
          <cell r="D33">
            <v>1</v>
          </cell>
        </row>
        <row r="34">
          <cell r="B34" t="str">
            <v>Shen Zhuang (Macau)</v>
          </cell>
          <cell r="E34">
            <v>1</v>
          </cell>
        </row>
        <row r="35">
          <cell r="B35" t="str">
            <v>Sum Lee</v>
          </cell>
          <cell r="D35">
            <v>1</v>
          </cell>
        </row>
        <row r="36">
          <cell r="B36" t="str">
            <v>Tak Sum</v>
          </cell>
          <cell r="D36">
            <v>1</v>
          </cell>
        </row>
        <row r="37">
          <cell r="B37" t="str">
            <v>Tang Tat</v>
          </cell>
        </row>
        <row r="38">
          <cell r="B38" t="str">
            <v>Tin Bo (15th)</v>
          </cell>
          <cell r="D38">
            <v>1</v>
          </cell>
        </row>
        <row r="39">
          <cell r="B39" t="str">
            <v>Tin Fai (Mrs. Lau)</v>
          </cell>
        </row>
        <row r="40">
          <cell r="B40" t="str">
            <v>Tin Pa</v>
          </cell>
          <cell r="D40">
            <v>1</v>
          </cell>
        </row>
        <row r="41">
          <cell r="B41" t="str">
            <v>Top Art (PG) (Mr.Chu)</v>
          </cell>
          <cell r="E41">
            <v>1</v>
          </cell>
        </row>
        <row r="42">
          <cell r="B42" t="str">
            <v>Usefull (裕豐)</v>
          </cell>
          <cell r="E42">
            <v>1</v>
          </cell>
        </row>
        <row r="43">
          <cell r="B43" t="str">
            <v>Vaford</v>
          </cell>
          <cell r="E43">
            <v>1</v>
          </cell>
        </row>
        <row r="44">
          <cell r="B44" t="str">
            <v>Wah Bo (PG)</v>
          </cell>
          <cell r="D44">
            <v>1</v>
          </cell>
        </row>
        <row r="45">
          <cell r="B45" t="str">
            <v>Wah Fai</v>
          </cell>
          <cell r="D45">
            <v>1</v>
          </cell>
        </row>
        <row r="46">
          <cell r="B46" t="str">
            <v>Wah Fai Eng. Co. ( To )</v>
          </cell>
        </row>
        <row r="47">
          <cell r="B47" t="str">
            <v>Wai Ming M &amp; E / David Mat'l (PG)</v>
          </cell>
          <cell r="E47">
            <v>1</v>
          </cell>
        </row>
        <row r="48">
          <cell r="B48" t="str">
            <v>Welltech Eng.</v>
          </cell>
          <cell r="E48">
            <v>1</v>
          </cell>
        </row>
        <row r="49">
          <cell r="B49" t="str">
            <v>Widespread (Ms. Tammy)</v>
          </cell>
          <cell r="D49">
            <v>1</v>
          </cell>
        </row>
        <row r="50">
          <cell r="B50" t="str">
            <v>Wing Kee</v>
          </cell>
          <cell r="D50">
            <v>1</v>
          </cell>
        </row>
        <row r="51">
          <cell r="B51" t="str">
            <v>Wing Yip (PG)</v>
          </cell>
          <cell r="D51">
            <v>1</v>
          </cell>
        </row>
        <row r="52">
          <cell r="B52" t="str">
            <v>Wong Hing</v>
          </cell>
          <cell r="D52">
            <v>1</v>
          </cell>
        </row>
        <row r="53">
          <cell r="B53" t="str">
            <v>Ying Fu</v>
          </cell>
          <cell r="D5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48C-FCFA-614B-A2F9-3323D548EED7}">
  <dimension ref="A1:AE75"/>
  <sheetViews>
    <sheetView tabSelected="1" view="pageBreakPreview" zoomScale="60" zoomScaleNormal="70" workbookViewId="0">
      <selection activeCell="C4" sqref="C4"/>
    </sheetView>
  </sheetViews>
  <sheetFormatPr baseColWidth="10" defaultColWidth="9" defaultRowHeight="16"/>
  <cols>
    <col min="1" max="1" width="4.83203125" style="4" customWidth="1"/>
    <col min="2" max="2" width="9.33203125" style="4" bestFit="1" customWidth="1"/>
    <col min="3" max="3" width="53.1640625" style="1" customWidth="1"/>
    <col min="4" max="5" width="5.33203125" style="4" customWidth="1"/>
    <col min="6" max="6" width="5.5" style="4" customWidth="1"/>
    <col min="7" max="10" width="5.83203125" style="4" customWidth="1"/>
    <col min="11" max="11" width="6.6640625" style="4" customWidth="1"/>
    <col min="12" max="12" width="6.1640625" style="4" customWidth="1"/>
    <col min="13" max="13" width="5.83203125" style="4" customWidth="1"/>
    <col min="14" max="14" width="6.1640625" style="1" customWidth="1"/>
    <col min="15" max="15" width="9.33203125" style="1" customWidth="1"/>
    <col min="16" max="16" width="36.6640625" style="139" customWidth="1"/>
    <col min="17" max="17" width="5.6640625" style="138" customWidth="1"/>
    <col min="18" max="18" width="5.83203125" style="138" customWidth="1"/>
    <col min="19" max="23" width="5.6640625" style="138" customWidth="1"/>
    <col min="24" max="24" width="5.83203125" style="138" customWidth="1"/>
    <col min="25" max="26" width="5.83203125" style="139" customWidth="1"/>
    <col min="27" max="27" width="3.5" style="139" customWidth="1"/>
    <col min="28" max="28" width="6.1640625" style="139" customWidth="1"/>
    <col min="29" max="31" width="5.83203125" style="139" customWidth="1"/>
    <col min="32" max="16384" width="9" style="1"/>
  </cols>
  <sheetData>
    <row r="1" spans="1:31" ht="20">
      <c r="A1" s="27" t="s">
        <v>259</v>
      </c>
      <c r="B1" s="27"/>
      <c r="P1" s="160" t="str">
        <f>+A1</f>
        <v>Customer Satisfaction Survey 2025 Check List ( By Telephone on 6 September 2025)</v>
      </c>
    </row>
    <row r="2" spans="1:31">
      <c r="A2" s="5"/>
      <c r="B2" s="5"/>
    </row>
    <row r="3" spans="1:31" ht="108.75" customHeight="1">
      <c r="A3" s="8"/>
      <c r="B3" s="8"/>
      <c r="C3" s="9"/>
      <c r="D3" s="86" t="s">
        <v>89</v>
      </c>
      <c r="E3" s="87" t="s">
        <v>90</v>
      </c>
      <c r="F3" s="127" t="s">
        <v>54</v>
      </c>
      <c r="G3" s="128" t="s">
        <v>50</v>
      </c>
      <c r="H3" s="128" t="s">
        <v>51</v>
      </c>
      <c r="I3" s="128" t="s">
        <v>52</v>
      </c>
      <c r="J3" s="128" t="s">
        <v>53</v>
      </c>
      <c r="K3" s="128" t="s">
        <v>56</v>
      </c>
      <c r="L3" s="128" t="s">
        <v>57</v>
      </c>
      <c r="M3" s="128" t="s">
        <v>55</v>
      </c>
      <c r="Q3" s="198"/>
      <c r="R3" s="198"/>
      <c r="S3" s="198"/>
      <c r="T3" s="140"/>
      <c r="U3" s="140"/>
      <c r="V3" s="140"/>
      <c r="W3" s="140"/>
    </row>
    <row r="4" spans="1:31">
      <c r="A4" s="38">
        <v>1</v>
      </c>
      <c r="B4" s="213" t="s">
        <v>260</v>
      </c>
      <c r="C4" s="161" t="s">
        <v>261</v>
      </c>
      <c r="D4" s="118">
        <v>1</v>
      </c>
      <c r="E4" s="181"/>
      <c r="F4" s="17">
        <v>7</v>
      </c>
      <c r="G4" s="8">
        <v>6</v>
      </c>
      <c r="H4" s="8">
        <v>7</v>
      </c>
      <c r="I4" s="8">
        <v>6</v>
      </c>
      <c r="J4" s="8">
        <v>6</v>
      </c>
      <c r="K4" s="8">
        <v>7</v>
      </c>
      <c r="L4" s="8">
        <v>6</v>
      </c>
      <c r="M4" s="8">
        <v>7</v>
      </c>
      <c r="P4" s="141" t="s">
        <v>193</v>
      </c>
      <c r="Q4" s="142">
        <v>1</v>
      </c>
      <c r="R4" s="142">
        <v>2</v>
      </c>
      <c r="S4" s="143">
        <v>3</v>
      </c>
      <c r="T4" s="142">
        <v>4</v>
      </c>
      <c r="U4" s="142">
        <v>5</v>
      </c>
      <c r="V4" s="143">
        <v>6</v>
      </c>
      <c r="W4" s="142">
        <v>7</v>
      </c>
      <c r="Y4" s="138"/>
      <c r="Z4" s="163" t="s">
        <v>194</v>
      </c>
      <c r="AB4" s="163" t="s">
        <v>195</v>
      </c>
    </row>
    <row r="5" spans="1:31">
      <c r="A5" s="39">
        <v>2</v>
      </c>
      <c r="B5" s="213" t="s">
        <v>262</v>
      </c>
      <c r="C5" s="161" t="s">
        <v>263</v>
      </c>
      <c r="D5" s="118">
        <v>1</v>
      </c>
      <c r="E5" s="181"/>
      <c r="F5" s="17">
        <v>6</v>
      </c>
      <c r="G5" s="8">
        <v>6</v>
      </c>
      <c r="H5" s="8">
        <v>7</v>
      </c>
      <c r="I5" s="8">
        <v>6</v>
      </c>
      <c r="J5" s="8">
        <v>6</v>
      </c>
      <c r="K5" s="8">
        <v>7</v>
      </c>
      <c r="L5" s="8">
        <v>7</v>
      </c>
      <c r="M5" s="8">
        <v>7</v>
      </c>
      <c r="P5" s="144" t="s">
        <v>196</v>
      </c>
      <c r="Q5" s="145">
        <f>+F64</f>
        <v>0</v>
      </c>
      <c r="R5" s="145">
        <f>+F63</f>
        <v>0</v>
      </c>
      <c r="S5" s="145">
        <f>+F62</f>
        <v>0</v>
      </c>
      <c r="T5" s="145">
        <f>+F61</f>
        <v>0</v>
      </c>
      <c r="U5" s="145">
        <f>+F60</f>
        <v>0</v>
      </c>
      <c r="V5" s="145">
        <f>+F59</f>
        <v>19</v>
      </c>
      <c r="W5" s="145">
        <f>+F58</f>
        <v>20</v>
      </c>
      <c r="X5" s="138">
        <f>SUM(Q5:W5)</f>
        <v>39</v>
      </c>
      <c r="Y5" s="138"/>
      <c r="Z5" s="139">
        <f>M67</f>
        <v>280</v>
      </c>
      <c r="AB5" s="139">
        <f>F68</f>
        <v>254</v>
      </c>
    </row>
    <row r="6" spans="1:31">
      <c r="A6" s="39">
        <v>3</v>
      </c>
      <c r="B6" s="213" t="s">
        <v>264</v>
      </c>
      <c r="C6" s="161" t="s">
        <v>265</v>
      </c>
      <c r="D6" s="118">
        <v>1</v>
      </c>
      <c r="E6" s="181"/>
      <c r="F6" s="17">
        <v>7</v>
      </c>
      <c r="G6" s="8">
        <v>7</v>
      </c>
      <c r="H6" s="8">
        <v>7</v>
      </c>
      <c r="I6" s="8">
        <v>7</v>
      </c>
      <c r="J6" s="8">
        <v>6</v>
      </c>
      <c r="K6" s="8">
        <v>7</v>
      </c>
      <c r="L6" s="8">
        <v>7</v>
      </c>
      <c r="M6" s="8">
        <v>7</v>
      </c>
      <c r="P6" s="144" t="s">
        <v>197</v>
      </c>
      <c r="Q6" s="145">
        <f>+G64</f>
        <v>0</v>
      </c>
      <c r="R6" s="145">
        <f>+G63</f>
        <v>0</v>
      </c>
      <c r="S6" s="145">
        <f>+G62</f>
        <v>0</v>
      </c>
      <c r="T6" s="145">
        <f>+G61</f>
        <v>0</v>
      </c>
      <c r="U6" s="145">
        <f>+G60</f>
        <v>0</v>
      </c>
      <c r="V6" s="145">
        <f>+G59</f>
        <v>21</v>
      </c>
      <c r="W6" s="145">
        <f>+G58</f>
        <v>18</v>
      </c>
      <c r="X6" s="138">
        <f t="shared" ref="X6:X12" si="0">SUM(Q6:W6)</f>
        <v>39</v>
      </c>
      <c r="Y6" s="138"/>
      <c r="Z6" s="139">
        <f t="shared" ref="Z6:Z12" si="1">+X6*7</f>
        <v>273</v>
      </c>
      <c r="AB6" s="139">
        <f>G68</f>
        <v>252</v>
      </c>
    </row>
    <row r="7" spans="1:31">
      <c r="A7" s="38">
        <v>4</v>
      </c>
      <c r="B7" s="213" t="s">
        <v>266</v>
      </c>
      <c r="C7" s="161" t="s">
        <v>267</v>
      </c>
      <c r="D7" s="118">
        <v>1</v>
      </c>
      <c r="E7" s="181"/>
      <c r="F7" s="17">
        <v>6</v>
      </c>
      <c r="G7" s="8">
        <v>6</v>
      </c>
      <c r="H7" s="8">
        <v>7</v>
      </c>
      <c r="I7" s="8">
        <v>6</v>
      </c>
      <c r="J7" s="8">
        <v>6</v>
      </c>
      <c r="K7" s="8">
        <v>7</v>
      </c>
      <c r="L7" s="8">
        <v>7</v>
      </c>
      <c r="M7" s="8">
        <v>6</v>
      </c>
      <c r="P7" s="144" t="s">
        <v>198</v>
      </c>
      <c r="Q7" s="145">
        <f>+H64</f>
        <v>0</v>
      </c>
      <c r="R7" s="145">
        <f>+H63</f>
        <v>0</v>
      </c>
      <c r="S7" s="145">
        <f>+H62</f>
        <v>0</v>
      </c>
      <c r="T7" s="145">
        <f>+H61</f>
        <v>0</v>
      </c>
      <c r="U7" s="145">
        <f>+H60</f>
        <v>0</v>
      </c>
      <c r="V7" s="145">
        <f>+H59</f>
        <v>4</v>
      </c>
      <c r="W7" s="145">
        <f>+H58</f>
        <v>35</v>
      </c>
      <c r="X7" s="138">
        <f t="shared" si="0"/>
        <v>39</v>
      </c>
      <c r="Y7" s="138"/>
      <c r="Z7" s="139">
        <f t="shared" si="1"/>
        <v>273</v>
      </c>
      <c r="AB7" s="139">
        <f>H68</f>
        <v>269</v>
      </c>
    </row>
    <row r="8" spans="1:31">
      <c r="A8" s="39">
        <v>5</v>
      </c>
      <c r="B8" s="213" t="s">
        <v>268</v>
      </c>
      <c r="C8" s="161" t="s">
        <v>269</v>
      </c>
      <c r="D8" s="118">
        <v>1</v>
      </c>
      <c r="E8" s="181"/>
      <c r="F8" s="17">
        <v>6</v>
      </c>
      <c r="G8" s="8">
        <v>6</v>
      </c>
      <c r="H8" s="8">
        <v>7</v>
      </c>
      <c r="I8" s="8">
        <v>6</v>
      </c>
      <c r="J8" s="8">
        <v>6</v>
      </c>
      <c r="K8" s="8">
        <v>7</v>
      </c>
      <c r="L8" s="8">
        <v>7</v>
      </c>
      <c r="M8" s="8">
        <v>6</v>
      </c>
      <c r="P8" s="144" t="s">
        <v>199</v>
      </c>
      <c r="Q8" s="145">
        <f>+I64</f>
        <v>0</v>
      </c>
      <c r="R8" s="145">
        <f>+I63</f>
        <v>0</v>
      </c>
      <c r="S8" s="145">
        <f>+I62</f>
        <v>0</v>
      </c>
      <c r="T8" s="145">
        <f>+I61</f>
        <v>0</v>
      </c>
      <c r="U8" s="145">
        <f>+I60</f>
        <v>0</v>
      </c>
      <c r="V8" s="145">
        <f>+I59</f>
        <v>30</v>
      </c>
      <c r="W8" s="145">
        <f>+I58</f>
        <v>9</v>
      </c>
      <c r="X8" s="138">
        <f t="shared" si="0"/>
        <v>39</v>
      </c>
      <c r="Y8" s="138"/>
      <c r="Z8" s="139">
        <f t="shared" si="1"/>
        <v>273</v>
      </c>
      <c r="AB8" s="139">
        <f>I68</f>
        <v>243</v>
      </c>
    </row>
    <row r="9" spans="1:31">
      <c r="A9" s="38">
        <v>6</v>
      </c>
      <c r="B9" s="213" t="s">
        <v>270</v>
      </c>
      <c r="C9" s="161" t="s">
        <v>271</v>
      </c>
      <c r="D9" s="118">
        <v>1</v>
      </c>
      <c r="E9" s="181"/>
      <c r="F9" s="17">
        <v>7</v>
      </c>
      <c r="G9" s="8">
        <v>7</v>
      </c>
      <c r="H9" s="8">
        <v>7</v>
      </c>
      <c r="I9" s="8">
        <v>7</v>
      </c>
      <c r="J9" s="8">
        <v>6</v>
      </c>
      <c r="K9" s="8">
        <v>7</v>
      </c>
      <c r="L9" s="8">
        <v>7</v>
      </c>
      <c r="M9" s="8">
        <v>7</v>
      </c>
      <c r="P9" s="144" t="s">
        <v>200</v>
      </c>
      <c r="Q9" s="145">
        <f>+J64</f>
        <v>0</v>
      </c>
      <c r="R9" s="145">
        <f>+J63</f>
        <v>0</v>
      </c>
      <c r="S9" s="145">
        <f>+J62</f>
        <v>0</v>
      </c>
      <c r="T9" s="145">
        <f>+J61</f>
        <v>0</v>
      </c>
      <c r="U9" s="145">
        <f>+J60</f>
        <v>0</v>
      </c>
      <c r="V9" s="145">
        <f>+J59</f>
        <v>26</v>
      </c>
      <c r="W9" s="145">
        <f>+J58</f>
        <v>13</v>
      </c>
      <c r="X9" s="138">
        <f t="shared" si="0"/>
        <v>39</v>
      </c>
      <c r="Y9" s="138"/>
      <c r="Z9" s="139">
        <f t="shared" si="1"/>
        <v>273</v>
      </c>
      <c r="AB9" s="139">
        <f>J68</f>
        <v>247</v>
      </c>
    </row>
    <row r="10" spans="1:31">
      <c r="A10" s="39">
        <v>7</v>
      </c>
      <c r="B10" s="213" t="s">
        <v>272</v>
      </c>
      <c r="C10" s="161" t="s">
        <v>273</v>
      </c>
      <c r="D10" s="118">
        <v>1</v>
      </c>
      <c r="E10" s="181"/>
      <c r="F10" s="17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P10" s="144" t="s">
        <v>213</v>
      </c>
      <c r="Q10" s="145">
        <f>+K64</f>
        <v>0</v>
      </c>
      <c r="R10" s="145">
        <f>+K63</f>
        <v>0</v>
      </c>
      <c r="S10" s="145">
        <f>+K62</f>
        <v>0</v>
      </c>
      <c r="T10" s="145">
        <f>+K61</f>
        <v>0</v>
      </c>
      <c r="U10" s="145">
        <f>+K60</f>
        <v>0</v>
      </c>
      <c r="V10" s="145">
        <f>+K59</f>
        <v>2</v>
      </c>
      <c r="W10" s="145">
        <f>+K58</f>
        <v>37</v>
      </c>
      <c r="X10" s="138">
        <f t="shared" si="0"/>
        <v>39</v>
      </c>
      <c r="Y10" s="138"/>
      <c r="Z10" s="139">
        <f t="shared" si="1"/>
        <v>273</v>
      </c>
      <c r="AB10" s="139">
        <f>K68</f>
        <v>271</v>
      </c>
    </row>
    <row r="11" spans="1:31">
      <c r="A11" s="39">
        <v>8</v>
      </c>
      <c r="B11" s="213" t="s">
        <v>274</v>
      </c>
      <c r="C11" s="161" t="s">
        <v>275</v>
      </c>
      <c r="D11" s="118">
        <v>1</v>
      </c>
      <c r="E11" s="181"/>
      <c r="F11" s="17">
        <v>6</v>
      </c>
      <c r="G11" s="8">
        <v>6</v>
      </c>
      <c r="H11" s="8">
        <v>7</v>
      </c>
      <c r="I11" s="8">
        <v>6</v>
      </c>
      <c r="J11" s="8">
        <v>6</v>
      </c>
      <c r="K11" s="8">
        <v>7</v>
      </c>
      <c r="L11" s="8">
        <v>7</v>
      </c>
      <c r="M11" s="8">
        <v>7</v>
      </c>
      <c r="P11" s="144" t="s">
        <v>202</v>
      </c>
      <c r="Q11" s="145">
        <f>+L64</f>
        <v>0</v>
      </c>
      <c r="R11" s="145">
        <f>+L63</f>
        <v>0</v>
      </c>
      <c r="S11" s="145">
        <f>+L62</f>
        <v>0</v>
      </c>
      <c r="T11" s="145">
        <f>+L61</f>
        <v>0</v>
      </c>
      <c r="U11" s="145">
        <f>+L60</f>
        <v>0</v>
      </c>
      <c r="V11" s="145">
        <f>+L59</f>
        <v>3</v>
      </c>
      <c r="W11" s="145">
        <f>+L58</f>
        <v>36</v>
      </c>
      <c r="X11" s="138">
        <f t="shared" si="0"/>
        <v>39</v>
      </c>
      <c r="Y11" s="138"/>
      <c r="Z11" s="139">
        <f t="shared" si="1"/>
        <v>273</v>
      </c>
      <c r="AB11" s="139">
        <f>L68</f>
        <v>270</v>
      </c>
    </row>
    <row r="12" spans="1:31">
      <c r="A12" s="39">
        <v>9</v>
      </c>
      <c r="B12" s="213" t="s">
        <v>276</v>
      </c>
      <c r="C12" s="161" t="s">
        <v>277</v>
      </c>
      <c r="D12" s="118">
        <v>1</v>
      </c>
      <c r="E12" s="196"/>
      <c r="F12" s="17">
        <v>6</v>
      </c>
      <c r="G12" s="8">
        <v>6</v>
      </c>
      <c r="H12" s="8">
        <v>7</v>
      </c>
      <c r="I12" s="8">
        <v>6</v>
      </c>
      <c r="J12" s="8">
        <v>6</v>
      </c>
      <c r="K12" s="8">
        <v>7</v>
      </c>
      <c r="L12" s="8">
        <v>7</v>
      </c>
      <c r="M12" s="8">
        <v>6</v>
      </c>
      <c r="P12" s="144" t="s">
        <v>203</v>
      </c>
      <c r="Q12" s="145">
        <f>+M64</f>
        <v>0</v>
      </c>
      <c r="R12" s="145">
        <f>+M63</f>
        <v>0</v>
      </c>
      <c r="S12" s="145">
        <f>+M62</f>
        <v>0</v>
      </c>
      <c r="T12" s="145">
        <f>+M61</f>
        <v>0</v>
      </c>
      <c r="U12" s="145">
        <f>+M60</f>
        <v>0</v>
      </c>
      <c r="V12" s="145">
        <f>+M59</f>
        <v>15</v>
      </c>
      <c r="W12" s="145">
        <f>+M58</f>
        <v>24</v>
      </c>
      <c r="X12" s="138">
        <f t="shared" si="0"/>
        <v>39</v>
      </c>
      <c r="Y12" s="138"/>
      <c r="Z12" s="139">
        <f t="shared" si="1"/>
        <v>273</v>
      </c>
      <c r="AB12" s="139">
        <f>M68</f>
        <v>258</v>
      </c>
    </row>
    <row r="13" spans="1:31" ht="17" thickBot="1">
      <c r="A13" s="38">
        <v>10</v>
      </c>
      <c r="B13" s="213" t="s">
        <v>278</v>
      </c>
      <c r="C13" s="161" t="s">
        <v>279</v>
      </c>
      <c r="D13" s="118">
        <v>1</v>
      </c>
      <c r="E13" s="181"/>
      <c r="F13" s="17">
        <v>6</v>
      </c>
      <c r="G13" s="8">
        <v>6</v>
      </c>
      <c r="H13" s="8">
        <v>7</v>
      </c>
      <c r="I13" s="8">
        <v>6</v>
      </c>
      <c r="J13" s="8">
        <v>6</v>
      </c>
      <c r="K13" s="8">
        <v>7</v>
      </c>
      <c r="L13" s="8">
        <v>7</v>
      </c>
      <c r="M13" s="8">
        <v>7</v>
      </c>
      <c r="P13" s="146" t="s">
        <v>204</v>
      </c>
      <c r="Q13" s="138">
        <f>SUM(Q5:Q12)</f>
        <v>0</v>
      </c>
      <c r="R13" s="138">
        <f t="shared" ref="R13:W13" si="2">SUM(R5:R12)</f>
        <v>0</v>
      </c>
      <c r="S13" s="138">
        <f t="shared" si="2"/>
        <v>0</v>
      </c>
      <c r="T13" s="138">
        <f t="shared" si="2"/>
        <v>0</v>
      </c>
      <c r="U13" s="138">
        <f t="shared" si="2"/>
        <v>0</v>
      </c>
      <c r="V13" s="138">
        <f t="shared" si="2"/>
        <v>120</v>
      </c>
      <c r="W13" s="138">
        <f t="shared" si="2"/>
        <v>192</v>
      </c>
      <c r="X13" s="147">
        <f>SUM(X5:X12)</f>
        <v>312</v>
      </c>
      <c r="Y13" s="138"/>
      <c r="Z13" s="148">
        <f>SUM(Z5:Z12)</f>
        <v>2191</v>
      </c>
      <c r="AB13" s="148">
        <f>SUM(AB5:AB12)</f>
        <v>2064</v>
      </c>
    </row>
    <row r="14" spans="1:31" ht="17" thickTop="1">
      <c r="A14" s="38">
        <v>11</v>
      </c>
      <c r="B14" s="213" t="s">
        <v>280</v>
      </c>
      <c r="C14" s="161" t="s">
        <v>281</v>
      </c>
      <c r="D14" s="118"/>
      <c r="E14" s="180">
        <v>1</v>
      </c>
      <c r="F14" s="79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  <c r="M14" s="80">
        <v>0</v>
      </c>
    </row>
    <row r="15" spans="1:31">
      <c r="A15" s="39">
        <v>12</v>
      </c>
      <c r="B15" s="213" t="s">
        <v>282</v>
      </c>
      <c r="C15" s="161" t="s">
        <v>283</v>
      </c>
      <c r="D15" s="118">
        <v>1</v>
      </c>
      <c r="E15" s="181"/>
      <c r="F15" s="17">
        <v>7</v>
      </c>
      <c r="G15" s="8">
        <v>7</v>
      </c>
      <c r="H15" s="8">
        <v>7</v>
      </c>
      <c r="I15" s="8">
        <v>7</v>
      </c>
      <c r="J15" s="8">
        <v>6</v>
      </c>
      <c r="K15" s="8">
        <v>7</v>
      </c>
      <c r="L15" s="8">
        <v>7</v>
      </c>
      <c r="M15" s="8">
        <v>7</v>
      </c>
      <c r="P15"/>
      <c r="Q15" s="162">
        <f t="shared" ref="Q15:X15" si="3">+Q13/$X$13</f>
        <v>0</v>
      </c>
      <c r="R15" s="162">
        <f t="shared" si="3"/>
        <v>0</v>
      </c>
      <c r="S15" s="162">
        <f t="shared" si="3"/>
        <v>0</v>
      </c>
      <c r="T15" s="162">
        <f t="shared" si="3"/>
        <v>0</v>
      </c>
      <c r="U15" s="162">
        <f t="shared" si="3"/>
        <v>0</v>
      </c>
      <c r="V15" s="162">
        <f t="shared" si="3"/>
        <v>0.38461538461538464</v>
      </c>
      <c r="W15" s="162">
        <f t="shared" si="3"/>
        <v>0.61538461538461542</v>
      </c>
      <c r="X15" s="149">
        <f t="shared" si="3"/>
        <v>1</v>
      </c>
      <c r="Y15"/>
      <c r="Z15" s="150"/>
      <c r="AA15" s="151" t="s">
        <v>205</v>
      </c>
      <c r="AB15" s="152">
        <f>+AB13/Z13*100</f>
        <v>94.20356001825651</v>
      </c>
      <c r="AC15"/>
      <c r="AD15"/>
      <c r="AE15"/>
    </row>
    <row r="16" spans="1:31">
      <c r="A16" s="38">
        <v>13</v>
      </c>
      <c r="B16" s="213" t="s">
        <v>284</v>
      </c>
      <c r="C16" s="161" t="s">
        <v>285</v>
      </c>
      <c r="D16" s="118">
        <v>1</v>
      </c>
      <c r="E16" s="181"/>
      <c r="F16" s="17">
        <v>6</v>
      </c>
      <c r="G16" s="8">
        <v>6</v>
      </c>
      <c r="H16" s="8">
        <v>7</v>
      </c>
      <c r="I16" s="8">
        <v>6</v>
      </c>
      <c r="J16" s="8">
        <v>6</v>
      </c>
      <c r="K16" s="8">
        <v>7</v>
      </c>
      <c r="L16" s="8">
        <v>7</v>
      </c>
      <c r="M16" s="8">
        <v>6</v>
      </c>
    </row>
    <row r="17" spans="1:31">
      <c r="A17" s="38">
        <v>14</v>
      </c>
      <c r="B17" s="213" t="s">
        <v>286</v>
      </c>
      <c r="C17" s="161" t="s">
        <v>287</v>
      </c>
      <c r="D17" s="118"/>
      <c r="E17" s="180">
        <v>1</v>
      </c>
      <c r="F17" s="79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  <c r="P17" s="141" t="s">
        <v>206</v>
      </c>
      <c r="Q17" s="141">
        <v>1</v>
      </c>
      <c r="R17" s="141">
        <v>2</v>
      </c>
      <c r="S17" s="153">
        <v>3</v>
      </c>
      <c r="T17" s="141">
        <v>4</v>
      </c>
      <c r="U17" s="141">
        <v>5</v>
      </c>
      <c r="V17" s="153">
        <v>6</v>
      </c>
      <c r="W17" s="141">
        <v>7</v>
      </c>
      <c r="X17" s="139"/>
    </row>
    <row r="18" spans="1:31">
      <c r="A18" s="39">
        <v>15</v>
      </c>
      <c r="B18" s="213" t="s">
        <v>288</v>
      </c>
      <c r="C18" s="161" t="s">
        <v>289</v>
      </c>
      <c r="D18" s="118">
        <v>1</v>
      </c>
      <c r="E18" s="181"/>
      <c r="F18" s="17">
        <v>6</v>
      </c>
      <c r="G18" s="8">
        <v>6</v>
      </c>
      <c r="H18" s="8">
        <v>7</v>
      </c>
      <c r="I18" s="8">
        <v>6</v>
      </c>
      <c r="J18" s="8">
        <v>6</v>
      </c>
      <c r="K18" s="8">
        <v>7</v>
      </c>
      <c r="L18" s="8">
        <v>7</v>
      </c>
      <c r="M18" s="8">
        <v>6</v>
      </c>
      <c r="P18" s="144" t="s">
        <v>196</v>
      </c>
      <c r="Q18" s="154">
        <f t="shared" ref="Q18:W25" si="4">+Q5/$X5</f>
        <v>0</v>
      </c>
      <c r="R18" s="154">
        <f t="shared" si="4"/>
        <v>0</v>
      </c>
      <c r="S18" s="154">
        <f t="shared" si="4"/>
        <v>0</v>
      </c>
      <c r="T18" s="154">
        <f t="shared" si="4"/>
        <v>0</v>
      </c>
      <c r="U18" s="154">
        <f t="shared" si="4"/>
        <v>0</v>
      </c>
      <c r="V18" s="154">
        <f t="shared" si="4"/>
        <v>0.48717948717948717</v>
      </c>
      <c r="W18" s="154">
        <f t="shared" si="4"/>
        <v>0.51282051282051277</v>
      </c>
      <c r="X18" s="170">
        <f>SUM(Q18:W18)</f>
        <v>1</v>
      </c>
    </row>
    <row r="19" spans="1:31">
      <c r="A19" s="39">
        <v>16</v>
      </c>
      <c r="B19" s="213" t="s">
        <v>290</v>
      </c>
      <c r="C19" s="161" t="s">
        <v>291</v>
      </c>
      <c r="D19" s="118">
        <v>1</v>
      </c>
      <c r="E19" s="196"/>
      <c r="F19" s="17">
        <v>7</v>
      </c>
      <c r="G19" s="8">
        <v>7</v>
      </c>
      <c r="H19" s="8">
        <v>7</v>
      </c>
      <c r="I19" s="8">
        <v>6</v>
      </c>
      <c r="J19" s="8">
        <v>6</v>
      </c>
      <c r="K19" s="8">
        <v>7</v>
      </c>
      <c r="L19" s="8">
        <v>7</v>
      </c>
      <c r="M19" s="8">
        <v>7</v>
      </c>
      <c r="P19" s="144" t="s">
        <v>196</v>
      </c>
      <c r="Q19" s="154">
        <f t="shared" si="4"/>
        <v>0</v>
      </c>
      <c r="R19" s="154">
        <f t="shared" si="4"/>
        <v>0</v>
      </c>
      <c r="S19" s="154">
        <f t="shared" si="4"/>
        <v>0</v>
      </c>
      <c r="T19" s="154">
        <f t="shared" si="4"/>
        <v>0</v>
      </c>
      <c r="U19" s="154">
        <f t="shared" si="4"/>
        <v>0</v>
      </c>
      <c r="V19" s="154">
        <f t="shared" si="4"/>
        <v>0.53846153846153844</v>
      </c>
      <c r="W19" s="154">
        <f t="shared" si="4"/>
        <v>0.46153846153846156</v>
      </c>
      <c r="X19" s="170">
        <f t="shared" ref="X19:X25" si="5">SUM(Q19:W19)</f>
        <v>1</v>
      </c>
      <c r="Y19" s="170"/>
    </row>
    <row r="20" spans="1:31">
      <c r="A20" s="39">
        <v>17</v>
      </c>
      <c r="B20" s="213" t="s">
        <v>292</v>
      </c>
      <c r="C20" s="161" t="s">
        <v>293</v>
      </c>
      <c r="D20" s="118">
        <v>1</v>
      </c>
      <c r="E20" s="181"/>
      <c r="F20" s="17">
        <v>6</v>
      </c>
      <c r="G20" s="8">
        <v>6</v>
      </c>
      <c r="H20" s="8">
        <v>7</v>
      </c>
      <c r="I20" s="8">
        <v>6</v>
      </c>
      <c r="J20" s="8">
        <v>6</v>
      </c>
      <c r="K20" s="8">
        <v>7</v>
      </c>
      <c r="L20" s="8">
        <v>7</v>
      </c>
      <c r="M20" s="8">
        <v>6</v>
      </c>
      <c r="P20" s="144" t="s">
        <v>198</v>
      </c>
      <c r="Q20" s="154">
        <f t="shared" si="4"/>
        <v>0</v>
      </c>
      <c r="R20" s="154">
        <f t="shared" si="4"/>
        <v>0</v>
      </c>
      <c r="S20" s="154">
        <f t="shared" si="4"/>
        <v>0</v>
      </c>
      <c r="T20" s="154">
        <f t="shared" si="4"/>
        <v>0</v>
      </c>
      <c r="U20" s="154">
        <f t="shared" si="4"/>
        <v>0</v>
      </c>
      <c r="V20" s="154">
        <f t="shared" si="4"/>
        <v>0.10256410256410256</v>
      </c>
      <c r="W20" s="154">
        <f t="shared" si="4"/>
        <v>0.89743589743589747</v>
      </c>
      <c r="X20" s="170">
        <f t="shared" si="5"/>
        <v>1</v>
      </c>
      <c r="Y20" s="170"/>
    </row>
    <row r="21" spans="1:31">
      <c r="A21" s="39">
        <v>18</v>
      </c>
      <c r="B21" s="213" t="s">
        <v>294</v>
      </c>
      <c r="C21" s="161" t="s">
        <v>295</v>
      </c>
      <c r="D21" s="118"/>
      <c r="E21" s="180">
        <v>1</v>
      </c>
      <c r="F21" s="79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P21" s="144" t="s">
        <v>199</v>
      </c>
      <c r="Q21" s="154">
        <f t="shared" si="4"/>
        <v>0</v>
      </c>
      <c r="R21" s="154">
        <f t="shared" si="4"/>
        <v>0</v>
      </c>
      <c r="S21" s="154">
        <f t="shared" si="4"/>
        <v>0</v>
      </c>
      <c r="T21" s="154">
        <f t="shared" si="4"/>
        <v>0</v>
      </c>
      <c r="U21" s="154">
        <f t="shared" si="4"/>
        <v>0</v>
      </c>
      <c r="V21" s="154">
        <f t="shared" si="4"/>
        <v>0.76923076923076927</v>
      </c>
      <c r="W21" s="154">
        <f t="shared" si="4"/>
        <v>0.23076923076923078</v>
      </c>
      <c r="X21" s="170">
        <f t="shared" si="5"/>
        <v>1</v>
      </c>
      <c r="Y21" s="170"/>
    </row>
    <row r="22" spans="1:31">
      <c r="A22" s="39">
        <v>19</v>
      </c>
      <c r="B22" s="213" t="s">
        <v>296</v>
      </c>
      <c r="C22" s="161" t="s">
        <v>297</v>
      </c>
      <c r="D22" s="118">
        <v>1</v>
      </c>
      <c r="E22" s="181"/>
      <c r="F22" s="17">
        <v>7</v>
      </c>
      <c r="G22" s="8">
        <v>7</v>
      </c>
      <c r="H22" s="8">
        <v>7</v>
      </c>
      <c r="I22" s="8">
        <v>6</v>
      </c>
      <c r="J22" s="8">
        <v>7</v>
      </c>
      <c r="K22" s="8">
        <v>7</v>
      </c>
      <c r="L22" s="8">
        <v>7</v>
      </c>
      <c r="M22" s="8">
        <v>7</v>
      </c>
      <c r="P22" s="144" t="s">
        <v>200</v>
      </c>
      <c r="Q22" s="154">
        <f t="shared" si="4"/>
        <v>0</v>
      </c>
      <c r="R22" s="154">
        <f t="shared" si="4"/>
        <v>0</v>
      </c>
      <c r="S22" s="154">
        <f t="shared" si="4"/>
        <v>0</v>
      </c>
      <c r="T22" s="154">
        <f t="shared" si="4"/>
        <v>0</v>
      </c>
      <c r="U22" s="154">
        <f t="shared" si="4"/>
        <v>0</v>
      </c>
      <c r="V22" s="154">
        <f t="shared" si="4"/>
        <v>0.66666666666666663</v>
      </c>
      <c r="W22" s="154">
        <f t="shared" si="4"/>
        <v>0.33333333333333331</v>
      </c>
      <c r="X22" s="170">
        <f t="shared" si="5"/>
        <v>1</v>
      </c>
      <c r="Y22" s="170"/>
    </row>
    <row r="23" spans="1:31">
      <c r="A23" s="39">
        <v>20</v>
      </c>
      <c r="B23" s="213" t="s">
        <v>298</v>
      </c>
      <c r="C23" s="161" t="s">
        <v>299</v>
      </c>
      <c r="D23" s="118">
        <v>1</v>
      </c>
      <c r="E23" s="196"/>
      <c r="F23" s="17">
        <v>6</v>
      </c>
      <c r="G23" s="8">
        <v>6</v>
      </c>
      <c r="H23" s="8">
        <v>7</v>
      </c>
      <c r="I23" s="8">
        <v>6</v>
      </c>
      <c r="J23" s="8">
        <v>7</v>
      </c>
      <c r="K23" s="8">
        <v>7</v>
      </c>
      <c r="L23" s="8">
        <v>7</v>
      </c>
      <c r="M23" s="8">
        <v>6</v>
      </c>
      <c r="P23" s="144" t="s">
        <v>201</v>
      </c>
      <c r="Q23" s="154">
        <f t="shared" si="4"/>
        <v>0</v>
      </c>
      <c r="R23" s="154">
        <f t="shared" si="4"/>
        <v>0</v>
      </c>
      <c r="S23" s="154">
        <f t="shared" si="4"/>
        <v>0</v>
      </c>
      <c r="T23" s="154">
        <f t="shared" si="4"/>
        <v>0</v>
      </c>
      <c r="U23" s="154">
        <f t="shared" si="4"/>
        <v>0</v>
      </c>
      <c r="V23" s="154">
        <f t="shared" si="4"/>
        <v>5.128205128205128E-2</v>
      </c>
      <c r="W23" s="154">
        <f t="shared" si="4"/>
        <v>0.94871794871794868</v>
      </c>
      <c r="X23" s="170">
        <f t="shared" si="5"/>
        <v>1</v>
      </c>
      <c r="Y23" s="170"/>
    </row>
    <row r="24" spans="1:31">
      <c r="A24" s="39">
        <v>21</v>
      </c>
      <c r="B24" s="213" t="s">
        <v>300</v>
      </c>
      <c r="C24" s="161" t="s">
        <v>301</v>
      </c>
      <c r="D24" s="118">
        <v>1</v>
      </c>
      <c r="E24" s="196"/>
      <c r="F24" s="17">
        <v>7</v>
      </c>
      <c r="G24" s="8">
        <v>6</v>
      </c>
      <c r="H24" s="8">
        <v>6</v>
      </c>
      <c r="I24" s="8">
        <v>6</v>
      </c>
      <c r="J24" s="8">
        <v>7</v>
      </c>
      <c r="K24" s="8">
        <v>7</v>
      </c>
      <c r="L24" s="8">
        <v>7</v>
      </c>
      <c r="M24" s="8">
        <v>7</v>
      </c>
      <c r="P24" s="144" t="s">
        <v>202</v>
      </c>
      <c r="Q24" s="154">
        <f t="shared" si="4"/>
        <v>0</v>
      </c>
      <c r="R24" s="154">
        <f t="shared" si="4"/>
        <v>0</v>
      </c>
      <c r="S24" s="154">
        <f t="shared" si="4"/>
        <v>0</v>
      </c>
      <c r="T24" s="154">
        <f t="shared" si="4"/>
        <v>0</v>
      </c>
      <c r="U24" s="154">
        <f t="shared" si="4"/>
        <v>0</v>
      </c>
      <c r="V24" s="154">
        <f t="shared" si="4"/>
        <v>7.6923076923076927E-2</v>
      </c>
      <c r="W24" s="154">
        <f t="shared" si="4"/>
        <v>0.92307692307692313</v>
      </c>
      <c r="X24" s="170">
        <f t="shared" si="5"/>
        <v>1</v>
      </c>
      <c r="Y24" s="170"/>
    </row>
    <row r="25" spans="1:31">
      <c r="A25" s="39">
        <v>22</v>
      </c>
      <c r="B25" s="213" t="s">
        <v>302</v>
      </c>
      <c r="C25" s="161" t="s">
        <v>303</v>
      </c>
      <c r="D25" s="118">
        <v>1</v>
      </c>
      <c r="E25" s="196"/>
      <c r="F25" s="17">
        <v>6</v>
      </c>
      <c r="G25" s="8">
        <v>7</v>
      </c>
      <c r="H25" s="8">
        <v>7</v>
      </c>
      <c r="I25" s="8">
        <v>6</v>
      </c>
      <c r="J25" s="8">
        <v>7</v>
      </c>
      <c r="K25" s="8">
        <v>7</v>
      </c>
      <c r="L25" s="8">
        <v>7</v>
      </c>
      <c r="M25" s="8">
        <v>7</v>
      </c>
      <c r="P25" s="144" t="s">
        <v>203</v>
      </c>
      <c r="Q25" s="154">
        <f t="shared" si="4"/>
        <v>0</v>
      </c>
      <c r="R25" s="154">
        <f t="shared" si="4"/>
        <v>0</v>
      </c>
      <c r="S25" s="154">
        <f t="shared" si="4"/>
        <v>0</v>
      </c>
      <c r="T25" s="154">
        <f t="shared" si="4"/>
        <v>0</v>
      </c>
      <c r="U25" s="154">
        <f t="shared" si="4"/>
        <v>0</v>
      </c>
      <c r="V25" s="154">
        <f t="shared" si="4"/>
        <v>0.38461538461538464</v>
      </c>
      <c r="W25" s="154">
        <f t="shared" si="4"/>
        <v>0.61538461538461542</v>
      </c>
      <c r="X25" s="170">
        <f t="shared" si="5"/>
        <v>1</v>
      </c>
      <c r="Y25" s="170"/>
    </row>
    <row r="26" spans="1:31">
      <c r="A26" s="38">
        <v>23</v>
      </c>
      <c r="B26" s="213" t="s">
        <v>304</v>
      </c>
      <c r="C26" s="161" t="s">
        <v>305</v>
      </c>
      <c r="D26" s="118">
        <v>1</v>
      </c>
      <c r="E26" s="196"/>
      <c r="F26" s="17">
        <v>7</v>
      </c>
      <c r="G26" s="8">
        <v>6</v>
      </c>
      <c r="H26" s="8">
        <v>7</v>
      </c>
      <c r="I26" s="8">
        <v>6</v>
      </c>
      <c r="J26" s="8">
        <v>6</v>
      </c>
      <c r="K26" s="8">
        <v>7</v>
      </c>
      <c r="L26" s="8">
        <v>6</v>
      </c>
      <c r="M26" s="8">
        <v>6</v>
      </c>
      <c r="P26" s="166"/>
      <c r="Q26" s="166"/>
      <c r="R26" s="169"/>
      <c r="S26" s="166"/>
      <c r="T26" s="166"/>
      <c r="U26" s="166"/>
      <c r="V26" s="166"/>
      <c r="W26" s="166"/>
      <c r="X26" s="139"/>
    </row>
    <row r="27" spans="1:31">
      <c r="A27" s="39">
        <v>24</v>
      </c>
      <c r="B27" s="213" t="s">
        <v>306</v>
      </c>
      <c r="C27" s="161" t="s">
        <v>307</v>
      </c>
      <c r="D27" s="118">
        <v>1</v>
      </c>
      <c r="E27" s="196"/>
      <c r="F27" s="17">
        <v>6</v>
      </c>
      <c r="G27" s="8">
        <v>6</v>
      </c>
      <c r="H27" s="8">
        <v>6</v>
      </c>
      <c r="I27" s="8">
        <v>6</v>
      </c>
      <c r="J27" s="8">
        <v>6</v>
      </c>
      <c r="K27" s="8">
        <v>6</v>
      </c>
      <c r="L27" s="8">
        <v>7</v>
      </c>
      <c r="M27" s="8">
        <v>7</v>
      </c>
      <c r="Q27" s="139"/>
      <c r="R27" s="139"/>
      <c r="S27" s="139"/>
      <c r="T27" s="139"/>
      <c r="U27" s="139"/>
    </row>
    <row r="28" spans="1:31">
      <c r="A28" s="39">
        <v>25</v>
      </c>
      <c r="B28" s="213" t="s">
        <v>308</v>
      </c>
      <c r="C28" s="161" t="s">
        <v>309</v>
      </c>
      <c r="D28" s="118">
        <v>1</v>
      </c>
      <c r="E28" s="196"/>
      <c r="F28" s="17">
        <v>6</v>
      </c>
      <c r="G28" s="8">
        <v>6</v>
      </c>
      <c r="H28" s="8">
        <v>7</v>
      </c>
      <c r="I28" s="8">
        <v>7</v>
      </c>
      <c r="J28" s="8">
        <v>7</v>
      </c>
      <c r="K28" s="8">
        <v>6</v>
      </c>
      <c r="L28" s="8">
        <v>6</v>
      </c>
      <c r="M28" s="8">
        <v>6</v>
      </c>
    </row>
    <row r="29" spans="1:31">
      <c r="A29" s="39">
        <v>26</v>
      </c>
      <c r="B29" s="213" t="s">
        <v>310</v>
      </c>
      <c r="C29" s="161" t="s">
        <v>311</v>
      </c>
      <c r="D29" s="118">
        <v>1</v>
      </c>
      <c r="E29" s="181"/>
      <c r="F29" s="17">
        <v>7</v>
      </c>
      <c r="G29" s="8">
        <v>6</v>
      </c>
      <c r="H29" s="8">
        <v>6</v>
      </c>
      <c r="I29" s="8">
        <v>6</v>
      </c>
      <c r="J29" s="8">
        <v>6</v>
      </c>
      <c r="K29" s="8">
        <v>7</v>
      </c>
      <c r="L29" s="8">
        <v>7</v>
      </c>
      <c r="M29" s="8">
        <v>7</v>
      </c>
    </row>
    <row r="30" spans="1:31">
      <c r="A30" s="39">
        <v>27</v>
      </c>
      <c r="B30" s="213" t="s">
        <v>312</v>
      </c>
      <c r="C30" s="161" t="s">
        <v>313</v>
      </c>
      <c r="D30" s="118">
        <v>1</v>
      </c>
      <c r="E30" s="181"/>
      <c r="F30" s="17">
        <v>7</v>
      </c>
      <c r="G30" s="8">
        <v>7</v>
      </c>
      <c r="H30" s="8">
        <v>7</v>
      </c>
      <c r="I30" s="8">
        <v>7</v>
      </c>
      <c r="J30" s="8">
        <v>7</v>
      </c>
      <c r="K30" s="8">
        <v>7</v>
      </c>
      <c r="L30" s="8">
        <v>7</v>
      </c>
      <c r="M30" s="8">
        <v>7</v>
      </c>
      <c r="Q30" s="139"/>
      <c r="R30" s="139"/>
      <c r="S30" s="139"/>
      <c r="T30" s="139"/>
      <c r="U30" s="139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>
      <c r="A31" s="39">
        <v>28</v>
      </c>
      <c r="B31" s="213" t="s">
        <v>314</v>
      </c>
      <c r="C31" s="161" t="s">
        <v>315</v>
      </c>
      <c r="D31" s="118">
        <v>1</v>
      </c>
      <c r="E31" s="196"/>
      <c r="F31" s="17">
        <v>7</v>
      </c>
      <c r="G31" s="8">
        <v>7</v>
      </c>
      <c r="H31" s="8">
        <v>7</v>
      </c>
      <c r="I31" s="8">
        <v>6</v>
      </c>
      <c r="J31" s="8">
        <v>6</v>
      </c>
      <c r="K31" s="8">
        <v>7</v>
      </c>
      <c r="L31" s="8">
        <v>7</v>
      </c>
      <c r="M31" s="8">
        <v>7</v>
      </c>
      <c r="Q31" s="139"/>
      <c r="R31" s="139"/>
      <c r="S31" s="139"/>
      <c r="T31" s="139"/>
      <c r="U31" s="139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>
      <c r="A32" s="39">
        <v>29</v>
      </c>
      <c r="B32" s="213" t="s">
        <v>316</v>
      </c>
      <c r="C32" s="161" t="s">
        <v>317</v>
      </c>
      <c r="D32" s="118">
        <v>1</v>
      </c>
      <c r="E32" s="181"/>
      <c r="F32" s="17">
        <v>7</v>
      </c>
      <c r="G32" s="8">
        <v>7</v>
      </c>
      <c r="H32" s="8">
        <v>6</v>
      </c>
      <c r="I32" s="8">
        <v>7</v>
      </c>
      <c r="J32" s="8">
        <v>7</v>
      </c>
      <c r="K32" s="8">
        <v>7</v>
      </c>
      <c r="L32" s="8">
        <v>7</v>
      </c>
      <c r="M32" s="8">
        <v>7</v>
      </c>
      <c r="Q32" s="139"/>
      <c r="R32" s="139"/>
      <c r="S32" s="139"/>
      <c r="T32" s="139"/>
      <c r="U32" s="139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>
      <c r="A33" s="39">
        <v>30</v>
      </c>
      <c r="B33" s="213" t="s">
        <v>318</v>
      </c>
      <c r="C33" s="161" t="s">
        <v>319</v>
      </c>
      <c r="D33" s="118">
        <v>1</v>
      </c>
      <c r="E33" s="181"/>
      <c r="F33" s="17">
        <v>6</v>
      </c>
      <c r="G33" s="8">
        <v>7</v>
      </c>
      <c r="H33" s="8">
        <v>7</v>
      </c>
      <c r="I33" s="8">
        <v>6</v>
      </c>
      <c r="J33" s="8">
        <v>6</v>
      </c>
      <c r="K33" s="8">
        <v>7</v>
      </c>
      <c r="L33" s="8">
        <v>7</v>
      </c>
      <c r="M33" s="8">
        <v>6</v>
      </c>
      <c r="Q33" s="139"/>
      <c r="R33" s="139"/>
      <c r="S33" s="139"/>
      <c r="T33" s="139"/>
      <c r="U33" s="139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>
      <c r="A34" s="39">
        <v>31</v>
      </c>
      <c r="B34" s="213" t="s">
        <v>320</v>
      </c>
      <c r="C34" s="161" t="s">
        <v>321</v>
      </c>
      <c r="D34" s="118"/>
      <c r="E34" s="180">
        <v>1</v>
      </c>
      <c r="F34" s="79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  <c r="Q34" s="139"/>
      <c r="R34" s="139"/>
      <c r="S34" s="139"/>
      <c r="T34" s="139"/>
      <c r="U34" s="139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>
      <c r="A35" s="39">
        <v>32</v>
      </c>
      <c r="B35" s="213" t="s">
        <v>322</v>
      </c>
      <c r="C35" s="161" t="s">
        <v>323</v>
      </c>
      <c r="D35" s="118">
        <v>1</v>
      </c>
      <c r="E35" s="196"/>
      <c r="F35" s="100">
        <v>6</v>
      </c>
      <c r="G35" s="92">
        <v>6</v>
      </c>
      <c r="H35" s="92">
        <v>7</v>
      </c>
      <c r="I35" s="92">
        <v>6</v>
      </c>
      <c r="J35" s="92">
        <v>6</v>
      </c>
      <c r="K35" s="92">
        <v>7</v>
      </c>
      <c r="L35" s="92">
        <v>7</v>
      </c>
      <c r="M35" s="92">
        <v>6</v>
      </c>
      <c r="Q35" s="139"/>
      <c r="R35" s="139"/>
      <c r="S35" s="139"/>
      <c r="T35" s="139"/>
      <c r="U35" s="139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>
      <c r="A36" s="38">
        <v>33</v>
      </c>
      <c r="B36" s="213" t="s">
        <v>324</v>
      </c>
      <c r="C36" s="161" t="s">
        <v>325</v>
      </c>
      <c r="D36" s="118">
        <v>1</v>
      </c>
      <c r="E36" s="181"/>
      <c r="F36" s="17">
        <v>7</v>
      </c>
      <c r="G36" s="8">
        <v>7</v>
      </c>
      <c r="H36" s="8">
        <v>7</v>
      </c>
      <c r="I36" s="8">
        <v>6</v>
      </c>
      <c r="J36" s="8">
        <v>7</v>
      </c>
      <c r="K36" s="8">
        <v>7</v>
      </c>
      <c r="L36" s="8">
        <v>7</v>
      </c>
      <c r="M36" s="8">
        <v>7</v>
      </c>
      <c r="Q36" s="139"/>
      <c r="R36" s="139"/>
      <c r="S36" s="139"/>
      <c r="T36" s="139"/>
      <c r="U36" s="139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>
      <c r="A37" s="39">
        <v>34</v>
      </c>
      <c r="B37" s="213" t="s">
        <v>326</v>
      </c>
      <c r="C37" s="161" t="s">
        <v>327</v>
      </c>
      <c r="D37" s="118">
        <v>1</v>
      </c>
      <c r="E37" s="181"/>
      <c r="F37" s="17">
        <v>6</v>
      </c>
      <c r="G37" s="8">
        <v>6</v>
      </c>
      <c r="H37" s="8">
        <v>7</v>
      </c>
      <c r="I37" s="8">
        <v>6</v>
      </c>
      <c r="J37" s="8">
        <v>7</v>
      </c>
      <c r="K37" s="8">
        <v>7</v>
      </c>
      <c r="L37" s="8">
        <v>7</v>
      </c>
      <c r="M37" s="8">
        <v>6</v>
      </c>
      <c r="Q37" s="139"/>
      <c r="R37" s="139"/>
      <c r="S37" s="139"/>
      <c r="T37" s="139"/>
      <c r="U37" s="139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>
      <c r="A38" s="39">
        <v>35</v>
      </c>
      <c r="B38" s="213" t="s">
        <v>328</v>
      </c>
      <c r="C38" s="161" t="s">
        <v>329</v>
      </c>
      <c r="D38" s="118">
        <v>1</v>
      </c>
      <c r="E38" s="181"/>
      <c r="F38" s="17">
        <v>7</v>
      </c>
      <c r="G38" s="8">
        <v>7</v>
      </c>
      <c r="H38" s="8">
        <v>7</v>
      </c>
      <c r="I38" s="8">
        <v>7</v>
      </c>
      <c r="J38" s="8">
        <v>7</v>
      </c>
      <c r="K38" s="8">
        <v>7</v>
      </c>
      <c r="L38" s="8">
        <v>7</v>
      </c>
      <c r="M38" s="8">
        <v>7</v>
      </c>
      <c r="Q38" s="139"/>
      <c r="R38" s="139"/>
      <c r="S38" s="139"/>
      <c r="T38" s="139"/>
      <c r="U38" s="139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>
      <c r="A39" s="39">
        <v>36</v>
      </c>
      <c r="B39" s="213" t="s">
        <v>330</v>
      </c>
      <c r="C39" s="161" t="s">
        <v>331</v>
      </c>
      <c r="D39" s="118">
        <v>1</v>
      </c>
      <c r="E39" s="196"/>
      <c r="F39" s="100">
        <v>7</v>
      </c>
      <c r="G39" s="92">
        <v>7</v>
      </c>
      <c r="H39" s="92">
        <v>7</v>
      </c>
      <c r="I39" s="92">
        <v>6</v>
      </c>
      <c r="J39" s="92">
        <v>6</v>
      </c>
      <c r="K39" s="92">
        <v>7</v>
      </c>
      <c r="L39" s="92">
        <v>7</v>
      </c>
      <c r="M39" s="92">
        <v>7</v>
      </c>
      <c r="Q39" s="139"/>
      <c r="R39" s="139"/>
      <c r="S39" s="139"/>
      <c r="T39" s="139"/>
      <c r="U39" s="139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>
      <c r="A40" s="39">
        <v>37</v>
      </c>
      <c r="B40" s="213" t="s">
        <v>332</v>
      </c>
      <c r="C40" s="161" t="s">
        <v>333</v>
      </c>
      <c r="D40" s="118">
        <v>1</v>
      </c>
      <c r="E40" s="181"/>
      <c r="F40" s="17">
        <v>7</v>
      </c>
      <c r="G40" s="8">
        <v>7</v>
      </c>
      <c r="H40" s="8">
        <v>7</v>
      </c>
      <c r="I40" s="8">
        <v>6</v>
      </c>
      <c r="J40" s="8">
        <v>6</v>
      </c>
      <c r="K40" s="8">
        <v>7</v>
      </c>
      <c r="L40" s="8">
        <v>7</v>
      </c>
      <c r="M40" s="8">
        <v>7</v>
      </c>
      <c r="Q40" s="139"/>
      <c r="R40" s="139"/>
      <c r="S40" s="139"/>
      <c r="T40" s="139"/>
      <c r="U40" s="139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>
      <c r="A41" s="39">
        <v>38</v>
      </c>
      <c r="B41" s="213" t="s">
        <v>334</v>
      </c>
      <c r="C41" s="161" t="s">
        <v>335</v>
      </c>
      <c r="D41" s="195"/>
      <c r="E41" s="180">
        <v>1</v>
      </c>
      <c r="F41" s="79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Q41" s="139"/>
      <c r="R41" s="139"/>
      <c r="S41" s="139"/>
      <c r="T41" s="139"/>
      <c r="U41" s="139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>
      <c r="A42" s="39">
        <v>39</v>
      </c>
      <c r="B42" s="213" t="s">
        <v>336</v>
      </c>
      <c r="C42" s="161" t="s">
        <v>337</v>
      </c>
      <c r="D42" s="118">
        <v>1</v>
      </c>
      <c r="E42" s="196"/>
      <c r="F42" s="17">
        <v>7</v>
      </c>
      <c r="G42" s="8">
        <v>7</v>
      </c>
      <c r="H42" s="8">
        <v>7</v>
      </c>
      <c r="I42" s="8">
        <v>6</v>
      </c>
      <c r="J42" s="8">
        <v>7</v>
      </c>
      <c r="K42" s="8">
        <v>7</v>
      </c>
      <c r="L42" s="8">
        <v>7</v>
      </c>
      <c r="M42" s="8">
        <v>7</v>
      </c>
    </row>
    <row r="43" spans="1:31">
      <c r="A43" s="39">
        <v>40</v>
      </c>
      <c r="B43" s="213" t="s">
        <v>338</v>
      </c>
      <c r="C43" s="161" t="s">
        <v>339</v>
      </c>
      <c r="D43" s="118">
        <v>1</v>
      </c>
      <c r="E43" s="181"/>
      <c r="F43" s="17">
        <v>6</v>
      </c>
      <c r="G43" s="8">
        <v>6</v>
      </c>
      <c r="H43" s="8">
        <v>7</v>
      </c>
      <c r="I43" s="8">
        <v>6</v>
      </c>
      <c r="J43" s="8">
        <v>6</v>
      </c>
      <c r="K43" s="8">
        <v>7</v>
      </c>
      <c r="L43" s="8">
        <v>7</v>
      </c>
      <c r="M43" s="8">
        <v>6</v>
      </c>
    </row>
    <row r="44" spans="1:31">
      <c r="A44" s="39">
        <v>41</v>
      </c>
      <c r="B44" s="213" t="s">
        <v>340</v>
      </c>
      <c r="C44" s="161" t="s">
        <v>341</v>
      </c>
      <c r="D44" s="118"/>
      <c r="E44" s="180">
        <v>1</v>
      </c>
      <c r="F44" s="79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</row>
    <row r="45" spans="1:31">
      <c r="A45" s="39">
        <v>42</v>
      </c>
      <c r="B45" s="213" t="s">
        <v>342</v>
      </c>
      <c r="C45" s="161" t="s">
        <v>343</v>
      </c>
      <c r="D45" s="118">
        <v>1</v>
      </c>
      <c r="E45" s="181"/>
      <c r="F45" s="17">
        <v>6</v>
      </c>
      <c r="G45" s="8">
        <v>6</v>
      </c>
      <c r="H45" s="8">
        <v>7</v>
      </c>
      <c r="I45" s="8">
        <v>6</v>
      </c>
      <c r="J45" s="8">
        <v>6</v>
      </c>
      <c r="K45" s="8">
        <v>7</v>
      </c>
      <c r="L45" s="8">
        <v>7</v>
      </c>
      <c r="M45" s="8">
        <v>6</v>
      </c>
    </row>
    <row r="46" spans="1:31">
      <c r="A46" s="39">
        <v>43</v>
      </c>
      <c r="B46" s="213" t="s">
        <v>344</v>
      </c>
      <c r="C46" s="161" t="s">
        <v>345</v>
      </c>
      <c r="D46" s="118"/>
      <c r="E46" s="180">
        <v>1</v>
      </c>
      <c r="F46" s="79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  <c r="M46" s="80">
        <v>0</v>
      </c>
    </row>
    <row r="47" spans="1:31">
      <c r="A47" s="39">
        <v>44</v>
      </c>
      <c r="B47" s="213" t="s">
        <v>346</v>
      </c>
      <c r="C47" s="161" t="s">
        <v>347</v>
      </c>
      <c r="D47" s="118">
        <v>1</v>
      </c>
      <c r="E47" s="196"/>
      <c r="F47" s="17">
        <v>7</v>
      </c>
      <c r="G47" s="8">
        <v>7</v>
      </c>
      <c r="H47" s="8">
        <v>7</v>
      </c>
      <c r="I47" s="8">
        <v>7</v>
      </c>
      <c r="J47" s="8">
        <v>7</v>
      </c>
      <c r="K47" s="8">
        <v>7</v>
      </c>
      <c r="L47" s="8">
        <v>7</v>
      </c>
      <c r="M47" s="8">
        <v>7</v>
      </c>
    </row>
    <row r="48" spans="1:31">
      <c r="A48" s="39">
        <v>45</v>
      </c>
      <c r="B48" s="213" t="s">
        <v>348</v>
      </c>
      <c r="C48" s="161" t="s">
        <v>349</v>
      </c>
      <c r="D48" s="118"/>
      <c r="E48" s="180">
        <v>1</v>
      </c>
      <c r="F48" s="79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</row>
    <row r="49" spans="1:31">
      <c r="A49" s="39">
        <v>46</v>
      </c>
      <c r="B49" s="213" t="s">
        <v>350</v>
      </c>
      <c r="C49" s="161" t="s">
        <v>351</v>
      </c>
      <c r="D49" s="118">
        <v>1</v>
      </c>
      <c r="E49" s="181"/>
      <c r="F49" s="17">
        <v>7</v>
      </c>
      <c r="G49" s="8">
        <v>6</v>
      </c>
      <c r="H49" s="8">
        <v>7</v>
      </c>
      <c r="I49" s="8">
        <v>6</v>
      </c>
      <c r="J49" s="8">
        <v>6</v>
      </c>
      <c r="K49" s="8">
        <v>7</v>
      </c>
      <c r="L49" s="8">
        <v>7</v>
      </c>
      <c r="M49" s="8">
        <v>6</v>
      </c>
    </row>
    <row r="50" spans="1:31">
      <c r="A50" s="39">
        <v>47</v>
      </c>
      <c r="B50" s="213" t="s">
        <v>352</v>
      </c>
      <c r="C50" s="161" t="s">
        <v>353</v>
      </c>
      <c r="D50" s="118"/>
      <c r="E50" s="180">
        <v>1</v>
      </c>
      <c r="F50" s="79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</row>
    <row r="51" spans="1:31">
      <c r="A51" s="38">
        <v>48</v>
      </c>
      <c r="B51" s="213" t="s">
        <v>354</v>
      </c>
      <c r="C51" s="161" t="s">
        <v>355</v>
      </c>
      <c r="D51" s="118">
        <v>1</v>
      </c>
      <c r="E51" s="181"/>
      <c r="F51" s="17">
        <v>6</v>
      </c>
      <c r="G51" s="8">
        <v>7</v>
      </c>
      <c r="H51" s="8">
        <v>7</v>
      </c>
      <c r="I51" s="8">
        <v>6</v>
      </c>
      <c r="J51" s="8">
        <v>7</v>
      </c>
      <c r="K51" s="8">
        <v>7</v>
      </c>
      <c r="L51" s="8">
        <v>7</v>
      </c>
      <c r="M51" s="8">
        <v>7</v>
      </c>
    </row>
    <row r="52" spans="1:31">
      <c r="A52" s="39">
        <v>49</v>
      </c>
      <c r="B52" s="213" t="s">
        <v>356</v>
      </c>
      <c r="C52" s="161" t="s">
        <v>357</v>
      </c>
      <c r="D52" s="118"/>
      <c r="E52" s="180">
        <v>1</v>
      </c>
      <c r="F52" s="79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</row>
    <row r="53" spans="1:31">
      <c r="A53" s="39">
        <v>50</v>
      </c>
      <c r="B53" s="213" t="s">
        <v>358</v>
      </c>
      <c r="C53" s="161" t="s">
        <v>359</v>
      </c>
      <c r="D53" s="118">
        <v>1</v>
      </c>
      <c r="E53" s="196"/>
      <c r="F53" s="17">
        <v>7</v>
      </c>
      <c r="G53" s="8">
        <v>7</v>
      </c>
      <c r="H53" s="8">
        <v>7</v>
      </c>
      <c r="I53" s="8">
        <v>7</v>
      </c>
      <c r="J53" s="8">
        <v>6</v>
      </c>
      <c r="K53" s="8">
        <v>7</v>
      </c>
      <c r="L53" s="8">
        <v>7</v>
      </c>
      <c r="M53" s="8">
        <v>7</v>
      </c>
    </row>
    <row r="54" spans="1:31">
      <c r="A54" s="30"/>
      <c r="B54" s="30"/>
      <c r="C54" s="4"/>
      <c r="D54" s="4">
        <f>SUM(D4:D53)</f>
        <v>40</v>
      </c>
      <c r="E54" s="4">
        <f>SUM(E4:E53)</f>
        <v>10</v>
      </c>
      <c r="F54" s="4">
        <f>SUM(F4:F53)</f>
        <v>254</v>
      </c>
      <c r="G54" s="4">
        <f t="shared" ref="G54:M54" si="6">SUM(G4:G53)</f>
        <v>252</v>
      </c>
      <c r="H54" s="4">
        <f t="shared" si="6"/>
        <v>269</v>
      </c>
      <c r="I54" s="4">
        <f t="shared" si="6"/>
        <v>243</v>
      </c>
      <c r="J54" s="4">
        <f t="shared" si="6"/>
        <v>247</v>
      </c>
      <c r="K54" s="4">
        <f t="shared" si="6"/>
        <v>271</v>
      </c>
      <c r="L54" s="4">
        <f t="shared" si="6"/>
        <v>270</v>
      </c>
      <c r="M54" s="4">
        <f t="shared" si="6"/>
        <v>258</v>
      </c>
      <c r="N54" s="138"/>
      <c r="O54" s="138"/>
      <c r="P54" s="167"/>
      <c r="Q54" s="168"/>
      <c r="R54" s="172"/>
      <c r="S54" s="168"/>
      <c r="T54" s="168"/>
      <c r="U54" s="168"/>
      <c r="V54" s="168"/>
      <c r="W54" s="168"/>
      <c r="X54" s="139"/>
    </row>
    <row r="55" spans="1:31">
      <c r="A55" s="29"/>
      <c r="B55" s="29"/>
      <c r="C55" s="30"/>
      <c r="D55" s="45">
        <f>+D54/50</f>
        <v>0.8</v>
      </c>
      <c r="E55" s="45">
        <f>+E54/50</f>
        <v>0.2</v>
      </c>
      <c r="K55" s="1"/>
      <c r="L55" s="1"/>
      <c r="M55" s="139"/>
      <c r="N55" s="138"/>
      <c r="O55" s="173"/>
      <c r="P55" s="138"/>
      <c r="U55" s="139"/>
      <c r="V55" s="139"/>
      <c r="W55" s="139"/>
      <c r="X55" s="139"/>
      <c r="AB55" s="1"/>
      <c r="AC55" s="1"/>
      <c r="AD55" s="1"/>
      <c r="AE55" s="1"/>
    </row>
    <row r="56" spans="1:31">
      <c r="A56" s="29"/>
      <c r="B56" s="29"/>
      <c r="C56" s="30"/>
      <c r="D56" s="29"/>
      <c r="P56" s="138"/>
      <c r="V56" s="139"/>
      <c r="W56" s="139"/>
      <c r="X56" s="139"/>
      <c r="AC56" s="1"/>
      <c r="AD56" s="1"/>
      <c r="AE56" s="1"/>
    </row>
    <row r="57" spans="1:31">
      <c r="A57" s="29"/>
      <c r="B57" s="29"/>
      <c r="C57" s="30"/>
      <c r="D57" s="29"/>
      <c r="E57" s="214" t="s">
        <v>91</v>
      </c>
      <c r="F57" s="214"/>
      <c r="G57" s="214"/>
      <c r="H57" s="214"/>
      <c r="I57" s="214"/>
      <c r="J57" s="214"/>
      <c r="K57" s="214"/>
      <c r="L57" s="214"/>
      <c r="M57" s="214"/>
    </row>
    <row r="58" spans="1:31">
      <c r="A58" s="29"/>
      <c r="B58" s="29"/>
      <c r="C58" s="30"/>
      <c r="D58" s="29"/>
      <c r="E58" s="215">
        <v>7</v>
      </c>
      <c r="F58" s="8">
        <f>COUNTIF(F$4:F$53, $E58)</f>
        <v>20</v>
      </c>
      <c r="G58" s="8">
        <f>COUNTIF(G$4:G$53, $E58)</f>
        <v>18</v>
      </c>
      <c r="H58" s="8">
        <f>COUNTIF(H$4:H$53, $E58)</f>
        <v>35</v>
      </c>
      <c r="I58" s="8">
        <f>COUNTIF(I$4:I$53, $E58)</f>
        <v>9</v>
      </c>
      <c r="J58" s="8">
        <f>COUNTIF(J$4:J$53, $E58)</f>
        <v>13</v>
      </c>
      <c r="K58" s="8">
        <f>COUNTIF(K$4:K$53, $E58)</f>
        <v>37</v>
      </c>
      <c r="L58" s="8">
        <f>COUNTIF(L$4:L$53, $E58)</f>
        <v>36</v>
      </c>
      <c r="M58" s="8">
        <f>COUNTIF(M$4:M$53, $E58)</f>
        <v>24</v>
      </c>
    </row>
    <row r="59" spans="1:31">
      <c r="A59" s="29"/>
      <c r="B59" s="29"/>
      <c r="C59" s="30"/>
      <c r="D59" s="29"/>
      <c r="E59" s="215">
        <v>6</v>
      </c>
      <c r="F59" s="8">
        <f>COUNTIF(F$4:F$53, $E59)</f>
        <v>19</v>
      </c>
      <c r="G59" s="8">
        <f>COUNTIF(G$4:G$53, $E59)</f>
        <v>21</v>
      </c>
      <c r="H59" s="8">
        <f>COUNTIF(H$4:H$53, $E59)</f>
        <v>4</v>
      </c>
      <c r="I59" s="8">
        <f>COUNTIF(I$4:I$53, $E59)</f>
        <v>30</v>
      </c>
      <c r="J59" s="8">
        <f>COUNTIF(J$4:J$53, $E59)</f>
        <v>26</v>
      </c>
      <c r="K59" s="8">
        <f>COUNTIF(K$4:K$53, $E59)</f>
        <v>2</v>
      </c>
      <c r="L59" s="8">
        <f>COUNTIF(L$4:L$53, $E59)</f>
        <v>3</v>
      </c>
      <c r="M59" s="8">
        <f>COUNTIF(M$4:M$53, $E59)</f>
        <v>15</v>
      </c>
    </row>
    <row r="60" spans="1:31">
      <c r="A60" s="29"/>
      <c r="B60" s="29"/>
      <c r="C60" s="30"/>
      <c r="D60" s="29"/>
      <c r="E60" s="215">
        <v>5</v>
      </c>
      <c r="F60" s="8">
        <f t="shared" ref="F60:M64" si="7">COUNTIF(F$4:F$53, $E60)</f>
        <v>0</v>
      </c>
      <c r="G60" s="8">
        <f t="shared" si="7"/>
        <v>0</v>
      </c>
      <c r="H60" s="8">
        <f t="shared" si="7"/>
        <v>0</v>
      </c>
      <c r="I60" s="8">
        <f t="shared" si="7"/>
        <v>0</v>
      </c>
      <c r="J60" s="8">
        <f t="shared" si="7"/>
        <v>0</v>
      </c>
      <c r="K60" s="8">
        <f t="shared" si="7"/>
        <v>0</v>
      </c>
      <c r="L60" s="8">
        <f t="shared" si="7"/>
        <v>0</v>
      </c>
      <c r="M60" s="8">
        <f t="shared" si="7"/>
        <v>0</v>
      </c>
    </row>
    <row r="61" spans="1:31">
      <c r="A61" s="29"/>
      <c r="B61" s="29"/>
      <c r="C61" s="30"/>
      <c r="D61" s="29"/>
      <c r="E61" s="215">
        <v>4</v>
      </c>
      <c r="F61" s="8">
        <f t="shared" si="7"/>
        <v>0</v>
      </c>
      <c r="G61" s="8">
        <f t="shared" si="7"/>
        <v>0</v>
      </c>
      <c r="H61" s="8">
        <f t="shared" si="7"/>
        <v>0</v>
      </c>
      <c r="I61" s="8">
        <f t="shared" si="7"/>
        <v>0</v>
      </c>
      <c r="J61" s="8">
        <f t="shared" si="7"/>
        <v>0</v>
      </c>
      <c r="K61" s="8">
        <f t="shared" si="7"/>
        <v>0</v>
      </c>
      <c r="L61" s="8">
        <f t="shared" si="7"/>
        <v>0</v>
      </c>
      <c r="M61" s="8">
        <f t="shared" si="7"/>
        <v>0</v>
      </c>
    </row>
    <row r="62" spans="1:31">
      <c r="A62" s="29"/>
      <c r="B62" s="29"/>
      <c r="D62" s="1"/>
      <c r="E62" s="215">
        <v>3</v>
      </c>
      <c r="F62" s="8">
        <f t="shared" si="7"/>
        <v>0</v>
      </c>
      <c r="G62" s="8">
        <f t="shared" si="7"/>
        <v>0</v>
      </c>
      <c r="H62" s="8">
        <f t="shared" si="7"/>
        <v>0</v>
      </c>
      <c r="I62" s="8">
        <f t="shared" si="7"/>
        <v>0</v>
      </c>
      <c r="J62" s="8">
        <f t="shared" si="7"/>
        <v>0</v>
      </c>
      <c r="K62" s="8">
        <f t="shared" si="7"/>
        <v>0</v>
      </c>
      <c r="L62" s="8">
        <f t="shared" si="7"/>
        <v>0</v>
      </c>
      <c r="M62" s="8">
        <f t="shared" si="7"/>
        <v>0</v>
      </c>
    </row>
    <row r="63" spans="1:31">
      <c r="D63" s="1"/>
      <c r="E63" s="215">
        <v>2</v>
      </c>
      <c r="F63" s="8">
        <f t="shared" si="7"/>
        <v>0</v>
      </c>
      <c r="G63" s="8">
        <f t="shared" si="7"/>
        <v>0</v>
      </c>
      <c r="H63" s="8">
        <f t="shared" si="7"/>
        <v>0</v>
      </c>
      <c r="I63" s="8">
        <f t="shared" si="7"/>
        <v>0</v>
      </c>
      <c r="J63" s="8">
        <f t="shared" si="7"/>
        <v>0</v>
      </c>
      <c r="K63" s="8">
        <f t="shared" si="7"/>
        <v>0</v>
      </c>
      <c r="L63" s="8">
        <f t="shared" si="7"/>
        <v>0</v>
      </c>
      <c r="M63" s="8">
        <f t="shared" si="7"/>
        <v>0</v>
      </c>
    </row>
    <row r="64" spans="1:31">
      <c r="D64" s="1"/>
      <c r="E64" s="215">
        <v>1</v>
      </c>
      <c r="F64" s="8">
        <f t="shared" si="7"/>
        <v>0</v>
      </c>
      <c r="G64" s="8">
        <f t="shared" si="7"/>
        <v>0</v>
      </c>
      <c r="H64" s="8">
        <f t="shared" si="7"/>
        <v>0</v>
      </c>
      <c r="I64" s="8">
        <f t="shared" si="7"/>
        <v>0</v>
      </c>
      <c r="J64" s="8">
        <f t="shared" si="7"/>
        <v>0</v>
      </c>
      <c r="K64" s="8">
        <f t="shared" si="7"/>
        <v>0</v>
      </c>
      <c r="L64" s="8">
        <f t="shared" si="7"/>
        <v>0</v>
      </c>
      <c r="M64" s="8">
        <f t="shared" si="7"/>
        <v>0</v>
      </c>
    </row>
    <row r="65" spans="1:24" s="139" customFormat="1">
      <c r="A65" s="4"/>
      <c r="B65" s="4"/>
      <c r="C65" s="1"/>
      <c r="D65" s="1"/>
      <c r="E65" s="1"/>
      <c r="F65" s="4">
        <f>SUM(F58:F64)</f>
        <v>39</v>
      </c>
      <c r="G65" s="4">
        <f t="shared" ref="G65:M65" si="8">SUM(G58:G64)</f>
        <v>39</v>
      </c>
      <c r="H65" s="4">
        <f t="shared" si="8"/>
        <v>39</v>
      </c>
      <c r="I65" s="4">
        <f t="shared" si="8"/>
        <v>39</v>
      </c>
      <c r="J65" s="4">
        <f t="shared" si="8"/>
        <v>39</v>
      </c>
      <c r="K65" s="4">
        <f t="shared" si="8"/>
        <v>39</v>
      </c>
      <c r="L65" s="4">
        <f t="shared" si="8"/>
        <v>39</v>
      </c>
      <c r="M65" s="4">
        <f t="shared" si="8"/>
        <v>39</v>
      </c>
      <c r="N65" s="1"/>
      <c r="O65" s="1"/>
      <c r="Q65" s="138"/>
      <c r="R65" s="138"/>
      <c r="S65" s="138"/>
      <c r="T65" s="138"/>
      <c r="U65" s="138"/>
      <c r="V65" s="138"/>
      <c r="W65" s="138"/>
      <c r="X65" s="138"/>
    </row>
    <row r="66" spans="1:24" s="139" customFormat="1">
      <c r="A66" s="4"/>
      <c r="B66" s="4"/>
      <c r="C66" s="1"/>
      <c r="D66" s="1"/>
      <c r="E66" s="1"/>
      <c r="F66" s="4"/>
      <c r="G66" s="4"/>
      <c r="H66" s="4"/>
      <c r="I66" s="4"/>
      <c r="J66" s="4"/>
      <c r="K66" s="4"/>
      <c r="L66" s="4"/>
      <c r="M66" s="4"/>
      <c r="N66" s="1"/>
      <c r="O66" s="1"/>
      <c r="Q66" s="138"/>
      <c r="R66" s="138"/>
      <c r="S66" s="138"/>
      <c r="T66" s="138"/>
      <c r="U66" s="138"/>
      <c r="V66" s="138"/>
      <c r="W66" s="138"/>
      <c r="X66" s="138"/>
    </row>
    <row r="67" spans="1:24" s="139" customFormat="1">
      <c r="A67" s="4"/>
      <c r="B67" s="4"/>
      <c r="C67" s="1"/>
      <c r="D67" s="4"/>
      <c r="E67" s="28" t="s">
        <v>59</v>
      </c>
      <c r="F67" s="4">
        <f>$D54*7</f>
        <v>280</v>
      </c>
      <c r="G67" s="4">
        <f t="shared" ref="G67:L67" si="9">$D54*7</f>
        <v>280</v>
      </c>
      <c r="H67" s="4">
        <f t="shared" si="9"/>
        <v>280</v>
      </c>
      <c r="I67" s="4">
        <f t="shared" si="9"/>
        <v>280</v>
      </c>
      <c r="J67" s="4">
        <f t="shared" si="9"/>
        <v>280</v>
      </c>
      <c r="K67" s="4">
        <f t="shared" si="9"/>
        <v>280</v>
      </c>
      <c r="L67" s="4">
        <f t="shared" si="9"/>
        <v>280</v>
      </c>
      <c r="M67" s="4">
        <f>$D54*7</f>
        <v>280</v>
      </c>
      <c r="N67" s="1">
        <f>SUM(F67:M67)</f>
        <v>2240</v>
      </c>
      <c r="O67" s="1"/>
      <c r="Q67" s="138"/>
      <c r="R67" s="138"/>
      <c r="S67" s="138"/>
      <c r="T67" s="138"/>
      <c r="U67" s="138"/>
      <c r="V67" s="138"/>
      <c r="W67" s="138"/>
      <c r="X67" s="138"/>
    </row>
    <row r="68" spans="1:24" s="139" customFormat="1" ht="17" thickBot="1">
      <c r="A68" s="4"/>
      <c r="B68" s="4"/>
      <c r="C68" s="1"/>
      <c r="D68" s="4"/>
      <c r="E68" s="28" t="s">
        <v>60</v>
      </c>
      <c r="F68" s="4">
        <f>SUM(F4:F53)</f>
        <v>254</v>
      </c>
      <c r="G68" s="4">
        <f t="shared" ref="G68:L68" si="10">SUM(G4:G53)</f>
        <v>252</v>
      </c>
      <c r="H68" s="4">
        <f t="shared" si="10"/>
        <v>269</v>
      </c>
      <c r="I68" s="4">
        <f t="shared" si="10"/>
        <v>243</v>
      </c>
      <c r="J68" s="4">
        <f t="shared" si="10"/>
        <v>247</v>
      </c>
      <c r="K68" s="4">
        <f t="shared" si="10"/>
        <v>271</v>
      </c>
      <c r="L68" s="4">
        <f t="shared" si="10"/>
        <v>270</v>
      </c>
      <c r="M68" s="4">
        <f>SUM(M4:M53)</f>
        <v>258</v>
      </c>
      <c r="N68" s="1">
        <f>SUM(F68:M68)</f>
        <v>2064</v>
      </c>
      <c r="O68" s="1"/>
      <c r="Q68" s="138"/>
      <c r="R68" s="138"/>
      <c r="S68" s="138"/>
      <c r="T68" s="138"/>
      <c r="U68" s="138"/>
      <c r="V68" s="138"/>
      <c r="W68" s="138"/>
      <c r="X68" s="138"/>
    </row>
    <row r="69" spans="1:24" s="139" customFormat="1" ht="22.5" customHeight="1" thickBot="1">
      <c r="A69" s="4"/>
      <c r="B69" s="4"/>
      <c r="C69" s="1"/>
      <c r="D69" s="4"/>
      <c r="E69" s="4"/>
      <c r="F69" s="45">
        <f t="shared" ref="F69:M69" si="11">+F68/F67</f>
        <v>0.90714285714285714</v>
      </c>
      <c r="G69" s="45">
        <f t="shared" si="11"/>
        <v>0.9</v>
      </c>
      <c r="H69" s="45">
        <f t="shared" si="11"/>
        <v>0.96071428571428574</v>
      </c>
      <c r="I69" s="45">
        <f t="shared" si="11"/>
        <v>0.86785714285714288</v>
      </c>
      <c r="J69" s="45">
        <f t="shared" si="11"/>
        <v>0.88214285714285712</v>
      </c>
      <c r="K69" s="45">
        <f t="shared" si="11"/>
        <v>0.96785714285714286</v>
      </c>
      <c r="L69" s="45">
        <f t="shared" si="11"/>
        <v>0.9642857142857143</v>
      </c>
      <c r="M69" s="45">
        <f t="shared" si="11"/>
        <v>0.92142857142857137</v>
      </c>
      <c r="N69" s="137">
        <f>+N68/N67</f>
        <v>0.92142857142857137</v>
      </c>
      <c r="O69" s="1"/>
      <c r="Q69" s="138"/>
      <c r="R69" s="138"/>
      <c r="S69" s="138"/>
      <c r="T69" s="138"/>
      <c r="U69" s="138"/>
      <c r="V69" s="138"/>
      <c r="W69" s="138"/>
      <c r="X69" s="138"/>
    </row>
    <row r="70" spans="1:24" s="139" customFormat="1" ht="29.25" customHeight="1" thickBot="1">
      <c r="A70" s="4"/>
      <c r="B70" s="4"/>
      <c r="C70" s="1"/>
      <c r="D70" s="4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Q70" s="138"/>
      <c r="R70" s="138"/>
      <c r="S70" s="138"/>
      <c r="T70" s="138"/>
      <c r="U70" s="138"/>
      <c r="V70" s="138"/>
      <c r="W70" s="138"/>
      <c r="X70" s="138"/>
    </row>
    <row r="71" spans="1:24" s="139" customFormat="1" ht="31.5" customHeight="1" thickBot="1">
      <c r="A71" s="190"/>
      <c r="B71" s="192"/>
      <c r="C71" s="191" t="s">
        <v>63</v>
      </c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3"/>
      <c r="O71" s="194"/>
      <c r="Q71" s="138"/>
      <c r="R71" s="138"/>
      <c r="S71" s="138"/>
      <c r="T71" s="138"/>
      <c r="U71" s="138"/>
      <c r="V71" s="138"/>
      <c r="W71" s="138"/>
      <c r="X71" s="138"/>
    </row>
    <row r="72" spans="1:24" s="139" customFormat="1" ht="31.5" customHeight="1">
      <c r="A72" s="182"/>
      <c r="B72" s="4"/>
      <c r="C72" s="183" t="s">
        <v>360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1"/>
      <c r="O72" s="184"/>
      <c r="Q72" s="138"/>
      <c r="R72" s="138"/>
      <c r="S72" s="138"/>
      <c r="T72" s="138"/>
      <c r="U72" s="138"/>
      <c r="V72" s="138"/>
      <c r="W72" s="138"/>
      <c r="X72" s="138"/>
    </row>
    <row r="73" spans="1:24" s="139" customFormat="1" ht="31.5" customHeight="1" thickBot="1">
      <c r="A73" s="182"/>
      <c r="B73" s="4"/>
      <c r="C73" s="185" t="s">
        <v>361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1"/>
      <c r="O73" s="184"/>
      <c r="Q73" s="138"/>
      <c r="R73" s="138"/>
      <c r="S73" s="138"/>
      <c r="T73" s="138"/>
      <c r="U73" s="138"/>
      <c r="V73" s="138"/>
      <c r="W73" s="138"/>
      <c r="X73" s="138"/>
    </row>
    <row r="74" spans="1:24" s="139" customFormat="1" ht="31.5" customHeight="1" thickBot="1">
      <c r="A74" s="182"/>
      <c r="B74" s="4"/>
      <c r="C74" s="185" t="s">
        <v>225</v>
      </c>
      <c r="D74" s="4"/>
      <c r="E74" s="4"/>
      <c r="F74" s="4"/>
      <c r="G74" s="4"/>
      <c r="H74" s="4"/>
      <c r="I74" s="4"/>
      <c r="J74" s="4"/>
      <c r="K74" s="4"/>
      <c r="L74" s="4"/>
      <c r="M74" s="202" t="s">
        <v>92</v>
      </c>
      <c r="N74" s="203"/>
      <c r="O74" s="184"/>
      <c r="Q74" s="138"/>
      <c r="R74" s="138"/>
      <c r="S74" s="138"/>
      <c r="T74" s="138"/>
      <c r="U74" s="138"/>
      <c r="V74" s="138"/>
      <c r="W74" s="138"/>
      <c r="X74" s="138"/>
    </row>
    <row r="75" spans="1:24" s="139" customFormat="1" ht="31.5" customHeight="1" thickBot="1">
      <c r="A75" s="186"/>
      <c r="B75" s="188"/>
      <c r="C75" s="187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7"/>
      <c r="O75" s="189"/>
      <c r="Q75" s="138"/>
      <c r="R75" s="138"/>
      <c r="S75" s="138"/>
      <c r="T75" s="138"/>
      <c r="U75" s="138"/>
      <c r="V75" s="138"/>
      <c r="W75" s="138"/>
      <c r="X75" s="138"/>
    </row>
  </sheetData>
  <mergeCells count="3">
    <mergeCell ref="Q3:S3"/>
    <mergeCell ref="E57:M57"/>
    <mergeCell ref="M74:N7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9" orientation="portrait" r:id="rId1"/>
  <rowBreaks count="1" manualBreakCount="1">
    <brk id="56" max="16383" man="1"/>
  </rowBreaks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57D3-BBC9-4AAE-925C-9C549005D1BA}">
  <dimension ref="A1:AD75"/>
  <sheetViews>
    <sheetView view="pageBreakPreview" zoomScale="60" zoomScaleNormal="70" workbookViewId="0">
      <selection activeCell="K4" sqref="K4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5" width="5.5" style="4" customWidth="1"/>
    <col min="6" max="9" width="5.83203125" style="4" customWidth="1"/>
    <col min="10" max="10" width="6.6640625" style="4" customWidth="1"/>
    <col min="11" max="11" width="6.1640625" style="4" customWidth="1"/>
    <col min="12" max="12" width="5.83203125" style="4" customWidth="1"/>
    <col min="13" max="13" width="6.1640625" style="1" customWidth="1"/>
    <col min="14" max="14" width="9.33203125" style="1" customWidth="1"/>
    <col min="15" max="15" width="36.6640625" style="139" customWidth="1"/>
    <col min="16" max="16" width="5.6640625" style="138" customWidth="1"/>
    <col min="17" max="17" width="5.83203125" style="138" customWidth="1"/>
    <col min="18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258</v>
      </c>
      <c r="O1" s="160" t="str">
        <f>+A1</f>
        <v>Customer Satisfaction Survey 2024 Check List ( By Telephone on 6 September 2024 )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71" t="s">
        <v>2</v>
      </c>
      <c r="C4" s="123">
        <v>1</v>
      </c>
      <c r="D4" s="181"/>
      <c r="E4" s="17">
        <v>7</v>
      </c>
      <c r="F4" s="8">
        <v>6</v>
      </c>
      <c r="G4" s="8">
        <v>7</v>
      </c>
      <c r="H4" s="8">
        <v>6</v>
      </c>
      <c r="I4" s="8">
        <v>6</v>
      </c>
      <c r="J4" s="8">
        <v>7</v>
      </c>
      <c r="K4" s="8">
        <v>6</v>
      </c>
      <c r="L4" s="8">
        <v>7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71" t="s">
        <v>125</v>
      </c>
      <c r="C5" s="118">
        <v>1</v>
      </c>
      <c r="D5" s="181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7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21</v>
      </c>
      <c r="V5" s="145">
        <f>+E58</f>
        <v>15</v>
      </c>
      <c r="W5" s="138">
        <f>SUM(P5:V5)</f>
        <v>36</v>
      </c>
      <c r="X5" s="138"/>
      <c r="Y5" s="139">
        <f>L67</f>
        <v>252</v>
      </c>
      <c r="AA5" s="139">
        <f>E68</f>
        <v>233</v>
      </c>
    </row>
    <row r="6" spans="1:30">
      <c r="A6" s="39">
        <v>3</v>
      </c>
      <c r="B6" s="171" t="s">
        <v>143</v>
      </c>
      <c r="C6" s="118">
        <v>1</v>
      </c>
      <c r="D6" s="181"/>
      <c r="E6" s="17">
        <v>7</v>
      </c>
      <c r="F6" s="8">
        <v>7</v>
      </c>
      <c r="G6" s="8">
        <v>7</v>
      </c>
      <c r="H6" s="8">
        <v>7</v>
      </c>
      <c r="I6" s="8">
        <v>6</v>
      </c>
      <c r="J6" s="8">
        <v>7</v>
      </c>
      <c r="K6" s="8">
        <v>7</v>
      </c>
      <c r="L6" s="8">
        <v>7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25</v>
      </c>
      <c r="V6" s="145">
        <f>+F58</f>
        <v>11</v>
      </c>
      <c r="W6" s="138">
        <f t="shared" ref="W6:W12" si="0">SUM(P6:V6)</f>
        <v>36</v>
      </c>
      <c r="X6" s="138"/>
      <c r="Y6" s="139">
        <f t="shared" ref="Y6:Y12" si="1">+W6*7</f>
        <v>252</v>
      </c>
      <c r="AA6" s="139">
        <f>F68</f>
        <v>231</v>
      </c>
    </row>
    <row r="7" spans="1:30">
      <c r="A7" s="38">
        <v>4</v>
      </c>
      <c r="B7" s="171" t="s">
        <v>162</v>
      </c>
      <c r="C7" s="118">
        <v>1</v>
      </c>
      <c r="D7" s="181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0</v>
      </c>
      <c r="U7" s="145">
        <f>+G59</f>
        <v>5</v>
      </c>
      <c r="V7" s="145">
        <f>+G58</f>
        <v>31</v>
      </c>
      <c r="W7" s="138">
        <f t="shared" si="0"/>
        <v>36</v>
      </c>
      <c r="X7" s="138"/>
      <c r="Y7" s="139">
        <f t="shared" si="1"/>
        <v>252</v>
      </c>
      <c r="AA7" s="139">
        <f>G68</f>
        <v>248</v>
      </c>
    </row>
    <row r="8" spans="1:30">
      <c r="A8" s="39">
        <v>5</v>
      </c>
      <c r="B8" s="171" t="s">
        <v>14</v>
      </c>
      <c r="C8" s="118">
        <v>1</v>
      </c>
      <c r="D8" s="181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35</v>
      </c>
      <c r="V8" s="145">
        <f>+H58</f>
        <v>1</v>
      </c>
      <c r="W8" s="138">
        <f t="shared" si="0"/>
        <v>36</v>
      </c>
      <c r="X8" s="138"/>
      <c r="Y8" s="139">
        <f t="shared" si="1"/>
        <v>252</v>
      </c>
      <c r="AA8" s="139">
        <f>H68</f>
        <v>222</v>
      </c>
    </row>
    <row r="9" spans="1:30">
      <c r="A9" s="38">
        <v>6</v>
      </c>
      <c r="B9" s="171" t="s">
        <v>96</v>
      </c>
      <c r="C9" s="118"/>
      <c r="D9" s="180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33</v>
      </c>
      <c r="V9" s="145">
        <f>+I58</f>
        <v>3</v>
      </c>
      <c r="W9" s="138">
        <f t="shared" si="0"/>
        <v>36</v>
      </c>
      <c r="X9" s="138"/>
      <c r="Y9" s="139">
        <f t="shared" si="1"/>
        <v>252</v>
      </c>
      <c r="AA9" s="139">
        <f>I68</f>
        <v>227</v>
      </c>
    </row>
    <row r="10" spans="1:30">
      <c r="A10" s="39">
        <v>7</v>
      </c>
      <c r="B10" s="171" t="s">
        <v>190</v>
      </c>
      <c r="C10" s="118"/>
      <c r="D10" s="180">
        <v>1</v>
      </c>
      <c r="E10" s="79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2</v>
      </c>
      <c r="V10" s="145">
        <f>+J58</f>
        <v>34</v>
      </c>
      <c r="W10" s="138">
        <f t="shared" si="0"/>
        <v>36</v>
      </c>
      <c r="X10" s="138"/>
      <c r="Y10" s="139">
        <f t="shared" si="1"/>
        <v>252</v>
      </c>
      <c r="AA10" s="139">
        <f>J68</f>
        <v>250</v>
      </c>
    </row>
    <row r="11" spans="1:30">
      <c r="A11" s="39">
        <v>8</v>
      </c>
      <c r="B11" s="171" t="s">
        <v>165</v>
      </c>
      <c r="C11" s="118">
        <v>1</v>
      </c>
      <c r="D11" s="181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7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4</v>
      </c>
      <c r="V11" s="145">
        <f>+K58</f>
        <v>32</v>
      </c>
      <c r="W11" s="138">
        <f t="shared" si="0"/>
        <v>36</v>
      </c>
      <c r="X11" s="138"/>
      <c r="Y11" s="139">
        <f t="shared" si="1"/>
        <v>252</v>
      </c>
      <c r="AA11" s="139">
        <f>K68</f>
        <v>249</v>
      </c>
    </row>
    <row r="12" spans="1:30">
      <c r="A12" s="39">
        <v>9</v>
      </c>
      <c r="B12" s="171" t="s">
        <v>100</v>
      </c>
      <c r="C12" s="118">
        <v>1</v>
      </c>
      <c r="D12" s="196"/>
      <c r="E12" s="17">
        <v>6</v>
      </c>
      <c r="F12" s="8">
        <v>6</v>
      </c>
      <c r="G12" s="8">
        <v>7</v>
      </c>
      <c r="H12" s="8">
        <v>6</v>
      </c>
      <c r="I12" s="8">
        <v>6</v>
      </c>
      <c r="J12" s="8">
        <v>7</v>
      </c>
      <c r="K12" s="8">
        <v>7</v>
      </c>
      <c r="L12" s="8">
        <v>6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23</v>
      </c>
      <c r="V12" s="145">
        <f>+L58</f>
        <v>13</v>
      </c>
      <c r="W12" s="138">
        <f t="shared" si="0"/>
        <v>36</v>
      </c>
      <c r="X12" s="138"/>
      <c r="Y12" s="139">
        <f t="shared" si="1"/>
        <v>252</v>
      </c>
      <c r="AA12" s="139">
        <f>L68</f>
        <v>237</v>
      </c>
    </row>
    <row r="13" spans="1:30" ht="17" thickBot="1">
      <c r="A13" s="38">
        <v>10</v>
      </c>
      <c r="B13" s="171" t="s">
        <v>22</v>
      </c>
      <c r="C13" s="118">
        <v>1</v>
      </c>
      <c r="D13" s="181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7</v>
      </c>
      <c r="O13" s="146" t="s">
        <v>204</v>
      </c>
      <c r="P13" s="138">
        <f>SUM(P5:P12)</f>
        <v>0</v>
      </c>
      <c r="Q13" s="138">
        <f t="shared" ref="Q13:V13" si="2">SUM(Q5:Q12)</f>
        <v>0</v>
      </c>
      <c r="R13" s="138">
        <f t="shared" si="2"/>
        <v>0</v>
      </c>
      <c r="S13" s="138">
        <f t="shared" si="2"/>
        <v>0</v>
      </c>
      <c r="T13" s="138">
        <f t="shared" si="2"/>
        <v>0</v>
      </c>
      <c r="U13" s="138">
        <f t="shared" si="2"/>
        <v>148</v>
      </c>
      <c r="V13" s="138">
        <f t="shared" si="2"/>
        <v>140</v>
      </c>
      <c r="W13" s="147">
        <f>SUM(W5:W12)</f>
        <v>288</v>
      </c>
      <c r="X13" s="138"/>
      <c r="Y13" s="148">
        <f>SUM(Y5:Y12)</f>
        <v>2016</v>
      </c>
      <c r="AA13" s="148">
        <f>SUM(AA5:AA12)</f>
        <v>1897</v>
      </c>
    </row>
    <row r="14" spans="1:30" ht="17" thickTop="1">
      <c r="A14" s="38">
        <v>11</v>
      </c>
      <c r="B14" s="171" t="s">
        <v>167</v>
      </c>
      <c r="C14" s="118"/>
      <c r="D14" s="180">
        <v>1</v>
      </c>
      <c r="E14" s="79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</row>
    <row r="15" spans="1:30">
      <c r="A15" s="39">
        <v>12</v>
      </c>
      <c r="B15" s="171" t="s">
        <v>24</v>
      </c>
      <c r="C15" s="118">
        <v>1</v>
      </c>
      <c r="D15" s="181"/>
      <c r="E15" s="17">
        <v>7</v>
      </c>
      <c r="F15" s="8">
        <v>7</v>
      </c>
      <c r="G15" s="8">
        <v>7</v>
      </c>
      <c r="H15" s="8">
        <v>7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3">+P13/$W$13</f>
        <v>0</v>
      </c>
      <c r="Q15" s="162">
        <f t="shared" si="3"/>
        <v>0</v>
      </c>
      <c r="R15" s="162">
        <f t="shared" si="3"/>
        <v>0</v>
      </c>
      <c r="S15" s="162">
        <f t="shared" si="3"/>
        <v>0</v>
      </c>
      <c r="T15" s="162">
        <f t="shared" si="3"/>
        <v>0</v>
      </c>
      <c r="U15" s="162">
        <f t="shared" si="3"/>
        <v>0.51388888888888884</v>
      </c>
      <c r="V15" s="162">
        <f t="shared" si="3"/>
        <v>0.4861111111111111</v>
      </c>
      <c r="W15" s="149">
        <f t="shared" si="3"/>
        <v>1</v>
      </c>
      <c r="X15"/>
      <c r="Y15" s="150"/>
      <c r="Z15" s="151" t="s">
        <v>205</v>
      </c>
      <c r="AA15" s="152">
        <f>+AA13/Y13*100</f>
        <v>94.097222222222214</v>
      </c>
      <c r="AB15"/>
      <c r="AC15"/>
      <c r="AD15"/>
    </row>
    <row r="16" spans="1:30">
      <c r="A16" s="38">
        <v>13</v>
      </c>
      <c r="B16" s="171" t="s">
        <v>25</v>
      </c>
      <c r="C16" s="118">
        <v>1</v>
      </c>
      <c r="D16" s="181"/>
      <c r="E16" s="17">
        <v>6</v>
      </c>
      <c r="F16" s="8">
        <v>6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6</v>
      </c>
    </row>
    <row r="17" spans="1:30">
      <c r="A17" s="38">
        <v>14</v>
      </c>
      <c r="B17" s="171" t="s">
        <v>113</v>
      </c>
      <c r="C17" s="118"/>
      <c r="D17" s="180">
        <v>1</v>
      </c>
      <c r="E17" s="79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30">
      <c r="A18" s="39">
        <v>15</v>
      </c>
      <c r="B18" s="171" t="s">
        <v>170</v>
      </c>
      <c r="C18" s="123">
        <v>1</v>
      </c>
      <c r="D18" s="181"/>
      <c r="E18" s="17">
        <v>6</v>
      </c>
      <c r="F18" s="8">
        <v>6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6</v>
      </c>
      <c r="O18" s="144" t="s">
        <v>196</v>
      </c>
      <c r="P18" s="154">
        <f t="shared" ref="P18:V25" si="4">+P5/$W5</f>
        <v>0</v>
      </c>
      <c r="Q18" s="154">
        <f t="shared" si="4"/>
        <v>0</v>
      </c>
      <c r="R18" s="154">
        <f t="shared" si="4"/>
        <v>0</v>
      </c>
      <c r="S18" s="154">
        <f t="shared" si="4"/>
        <v>0</v>
      </c>
      <c r="T18" s="154">
        <f t="shared" si="4"/>
        <v>0</v>
      </c>
      <c r="U18" s="154">
        <f t="shared" si="4"/>
        <v>0.58333333333333337</v>
      </c>
      <c r="V18" s="154">
        <f t="shared" si="4"/>
        <v>0.41666666666666669</v>
      </c>
      <c r="W18" s="170">
        <f>SUM(P18:V18)</f>
        <v>1</v>
      </c>
    </row>
    <row r="19" spans="1:30">
      <c r="A19" s="39">
        <v>16</v>
      </c>
      <c r="B19" s="171" t="s">
        <v>114</v>
      </c>
      <c r="C19" s="118">
        <v>1</v>
      </c>
      <c r="D19" s="196"/>
      <c r="E19" s="17">
        <v>7</v>
      </c>
      <c r="F19" s="8">
        <v>7</v>
      </c>
      <c r="G19" s="8">
        <v>7</v>
      </c>
      <c r="H19" s="8">
        <v>6</v>
      </c>
      <c r="I19" s="8">
        <v>6</v>
      </c>
      <c r="J19" s="8">
        <v>7</v>
      </c>
      <c r="K19" s="8">
        <v>7</v>
      </c>
      <c r="L19" s="8">
        <v>7</v>
      </c>
      <c r="O19" s="144" t="s">
        <v>196</v>
      </c>
      <c r="P19" s="154">
        <f t="shared" si="4"/>
        <v>0</v>
      </c>
      <c r="Q19" s="154">
        <f t="shared" si="4"/>
        <v>0</v>
      </c>
      <c r="R19" s="154">
        <f t="shared" si="4"/>
        <v>0</v>
      </c>
      <c r="S19" s="154">
        <f t="shared" si="4"/>
        <v>0</v>
      </c>
      <c r="T19" s="154">
        <f t="shared" si="4"/>
        <v>0</v>
      </c>
      <c r="U19" s="154">
        <f t="shared" si="4"/>
        <v>0.69444444444444442</v>
      </c>
      <c r="V19" s="154">
        <f t="shared" si="4"/>
        <v>0.30555555555555558</v>
      </c>
      <c r="W19" s="170">
        <f t="shared" ref="W19:W25" si="5">SUM(P19:V19)</f>
        <v>1</v>
      </c>
      <c r="X19" s="170"/>
    </row>
    <row r="20" spans="1:30">
      <c r="A20" s="39">
        <v>17</v>
      </c>
      <c r="B20" s="171" t="s">
        <v>232</v>
      </c>
      <c r="C20" s="118">
        <v>1</v>
      </c>
      <c r="D20" s="181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si="4"/>
        <v>0</v>
      </c>
      <c r="Q20" s="154">
        <f t="shared" si="4"/>
        <v>0</v>
      </c>
      <c r="R20" s="154">
        <f t="shared" si="4"/>
        <v>0</v>
      </c>
      <c r="S20" s="154">
        <f t="shared" si="4"/>
        <v>0</v>
      </c>
      <c r="T20" s="154">
        <f t="shared" si="4"/>
        <v>0</v>
      </c>
      <c r="U20" s="154">
        <f t="shared" si="4"/>
        <v>0.1388888888888889</v>
      </c>
      <c r="V20" s="154">
        <f t="shared" si="4"/>
        <v>0.86111111111111116</v>
      </c>
      <c r="W20" s="170">
        <f t="shared" si="5"/>
        <v>1</v>
      </c>
      <c r="X20" s="170"/>
    </row>
    <row r="21" spans="1:30">
      <c r="A21" s="39">
        <v>18</v>
      </c>
      <c r="B21" s="171" t="s">
        <v>246</v>
      </c>
      <c r="C21" s="118"/>
      <c r="D21" s="180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O21" s="144" t="s">
        <v>199</v>
      </c>
      <c r="P21" s="154">
        <f t="shared" si="4"/>
        <v>0</v>
      </c>
      <c r="Q21" s="154">
        <f t="shared" si="4"/>
        <v>0</v>
      </c>
      <c r="R21" s="154">
        <f t="shared" si="4"/>
        <v>0</v>
      </c>
      <c r="S21" s="154">
        <f t="shared" si="4"/>
        <v>0</v>
      </c>
      <c r="T21" s="154">
        <f t="shared" si="4"/>
        <v>0</v>
      </c>
      <c r="U21" s="154">
        <f t="shared" si="4"/>
        <v>0.97222222222222221</v>
      </c>
      <c r="V21" s="154">
        <f t="shared" si="4"/>
        <v>2.7777777777777776E-2</v>
      </c>
      <c r="W21" s="170">
        <f t="shared" si="5"/>
        <v>1</v>
      </c>
      <c r="X21" s="170"/>
    </row>
    <row r="22" spans="1:30">
      <c r="A22" s="39">
        <v>19</v>
      </c>
      <c r="B22" s="171" t="s">
        <v>247</v>
      </c>
      <c r="C22" s="118">
        <v>1</v>
      </c>
      <c r="D22" s="181"/>
      <c r="E22" s="17">
        <v>7</v>
      </c>
      <c r="F22" s="8">
        <v>7</v>
      </c>
      <c r="G22" s="8">
        <v>7</v>
      </c>
      <c r="H22" s="8">
        <v>6</v>
      </c>
      <c r="I22" s="8">
        <v>7</v>
      </c>
      <c r="J22" s="8">
        <v>7</v>
      </c>
      <c r="K22" s="8">
        <v>7</v>
      </c>
      <c r="L22" s="8">
        <v>7</v>
      </c>
      <c r="O22" s="144" t="s">
        <v>200</v>
      </c>
      <c r="P22" s="154">
        <f t="shared" si="4"/>
        <v>0</v>
      </c>
      <c r="Q22" s="154">
        <f t="shared" si="4"/>
        <v>0</v>
      </c>
      <c r="R22" s="154">
        <f t="shared" si="4"/>
        <v>0</v>
      </c>
      <c r="S22" s="154">
        <f t="shared" si="4"/>
        <v>0</v>
      </c>
      <c r="T22" s="154">
        <f t="shared" si="4"/>
        <v>0</v>
      </c>
      <c r="U22" s="154">
        <f t="shared" si="4"/>
        <v>0.91666666666666663</v>
      </c>
      <c r="V22" s="154">
        <f t="shared" si="4"/>
        <v>8.3333333333333329E-2</v>
      </c>
      <c r="W22" s="170">
        <f t="shared" si="5"/>
        <v>1</v>
      </c>
      <c r="X22" s="170"/>
    </row>
    <row r="23" spans="1:30">
      <c r="A23" s="39">
        <v>20</v>
      </c>
      <c r="B23" s="171" t="s">
        <v>72</v>
      </c>
      <c r="C23" s="118">
        <v>1</v>
      </c>
      <c r="D23" s="196"/>
      <c r="E23" s="17">
        <v>6</v>
      </c>
      <c r="F23" s="8">
        <v>6</v>
      </c>
      <c r="G23" s="8">
        <v>7</v>
      </c>
      <c r="H23" s="8">
        <v>6</v>
      </c>
      <c r="I23" s="8">
        <v>7</v>
      </c>
      <c r="J23" s="8">
        <v>7</v>
      </c>
      <c r="K23" s="8">
        <v>7</v>
      </c>
      <c r="L23" s="8">
        <v>6</v>
      </c>
      <c r="O23" s="144" t="s">
        <v>201</v>
      </c>
      <c r="P23" s="154">
        <f t="shared" si="4"/>
        <v>0</v>
      </c>
      <c r="Q23" s="154">
        <f t="shared" si="4"/>
        <v>0</v>
      </c>
      <c r="R23" s="154">
        <f t="shared" si="4"/>
        <v>0</v>
      </c>
      <c r="S23" s="154">
        <f t="shared" si="4"/>
        <v>0</v>
      </c>
      <c r="T23" s="154">
        <f t="shared" si="4"/>
        <v>0</v>
      </c>
      <c r="U23" s="154">
        <f t="shared" si="4"/>
        <v>5.5555555555555552E-2</v>
      </c>
      <c r="V23" s="154">
        <f t="shared" si="4"/>
        <v>0.94444444444444442</v>
      </c>
      <c r="W23" s="170">
        <f t="shared" si="5"/>
        <v>1</v>
      </c>
      <c r="X23" s="170"/>
    </row>
    <row r="24" spans="1:30">
      <c r="A24" s="39">
        <v>21</v>
      </c>
      <c r="B24" s="171" t="s">
        <v>233</v>
      </c>
      <c r="C24" s="118">
        <v>1</v>
      </c>
      <c r="D24" s="196"/>
      <c r="E24" s="17">
        <v>7</v>
      </c>
      <c r="F24" s="8">
        <v>6</v>
      </c>
      <c r="G24" s="8">
        <v>6</v>
      </c>
      <c r="H24" s="8">
        <v>6</v>
      </c>
      <c r="I24" s="8">
        <v>7</v>
      </c>
      <c r="J24" s="8">
        <v>7</v>
      </c>
      <c r="K24" s="8">
        <v>7</v>
      </c>
      <c r="L24" s="8">
        <v>7</v>
      </c>
      <c r="O24" s="144" t="s">
        <v>202</v>
      </c>
      <c r="P24" s="154">
        <f t="shared" si="4"/>
        <v>0</v>
      </c>
      <c r="Q24" s="154">
        <f t="shared" si="4"/>
        <v>0</v>
      </c>
      <c r="R24" s="154">
        <f t="shared" si="4"/>
        <v>0</v>
      </c>
      <c r="S24" s="154">
        <f t="shared" si="4"/>
        <v>0</v>
      </c>
      <c r="T24" s="154">
        <f t="shared" si="4"/>
        <v>0</v>
      </c>
      <c r="U24" s="154">
        <f t="shared" si="4"/>
        <v>0.1111111111111111</v>
      </c>
      <c r="V24" s="154">
        <f t="shared" si="4"/>
        <v>0.88888888888888884</v>
      </c>
      <c r="W24" s="170">
        <f t="shared" si="5"/>
        <v>1</v>
      </c>
      <c r="X24" s="170"/>
    </row>
    <row r="25" spans="1:30">
      <c r="A25" s="39">
        <v>22</v>
      </c>
      <c r="B25" s="171" t="s">
        <v>33</v>
      </c>
      <c r="C25" s="118">
        <v>1</v>
      </c>
      <c r="D25" s="196"/>
      <c r="E25" s="17">
        <v>6</v>
      </c>
      <c r="F25" s="8">
        <v>7</v>
      </c>
      <c r="G25" s="8">
        <v>7</v>
      </c>
      <c r="H25" s="8">
        <v>6</v>
      </c>
      <c r="I25" s="8">
        <v>7</v>
      </c>
      <c r="J25" s="8">
        <v>7</v>
      </c>
      <c r="K25" s="8">
        <v>7</v>
      </c>
      <c r="L25" s="8">
        <v>7</v>
      </c>
      <c r="O25" s="144" t="s">
        <v>203</v>
      </c>
      <c r="P25" s="154">
        <f t="shared" si="4"/>
        <v>0</v>
      </c>
      <c r="Q25" s="154">
        <f t="shared" si="4"/>
        <v>0</v>
      </c>
      <c r="R25" s="154">
        <f t="shared" si="4"/>
        <v>0</v>
      </c>
      <c r="S25" s="154">
        <f t="shared" si="4"/>
        <v>0</v>
      </c>
      <c r="T25" s="154">
        <f t="shared" si="4"/>
        <v>0</v>
      </c>
      <c r="U25" s="154">
        <f t="shared" si="4"/>
        <v>0.63888888888888884</v>
      </c>
      <c r="V25" s="154">
        <f t="shared" si="4"/>
        <v>0.3611111111111111</v>
      </c>
      <c r="W25" s="170">
        <f t="shared" si="5"/>
        <v>1</v>
      </c>
      <c r="X25" s="170"/>
    </row>
    <row r="26" spans="1:30">
      <c r="A26" s="38">
        <v>23</v>
      </c>
      <c r="B26" s="171" t="s">
        <v>173</v>
      </c>
      <c r="C26" s="118">
        <v>1</v>
      </c>
      <c r="D26" s="196"/>
      <c r="E26" s="17">
        <v>7</v>
      </c>
      <c r="F26" s="8">
        <v>6</v>
      </c>
      <c r="G26" s="8">
        <v>7</v>
      </c>
      <c r="H26" s="8">
        <v>6</v>
      </c>
      <c r="I26" s="8">
        <v>6</v>
      </c>
      <c r="J26" s="8">
        <v>7</v>
      </c>
      <c r="K26" s="8">
        <v>6</v>
      </c>
      <c r="L26" s="8">
        <v>6</v>
      </c>
      <c r="O26" s="166"/>
      <c r="P26" s="166"/>
      <c r="Q26" s="169"/>
      <c r="R26" s="166"/>
      <c r="S26" s="166"/>
      <c r="T26" s="166"/>
      <c r="U26" s="166"/>
      <c r="V26" s="166"/>
      <c r="W26" s="139"/>
    </row>
    <row r="27" spans="1:30">
      <c r="A27" s="39">
        <v>24</v>
      </c>
      <c r="B27" s="171" t="s">
        <v>132</v>
      </c>
      <c r="C27" s="118">
        <v>1</v>
      </c>
      <c r="D27" s="196"/>
      <c r="E27" s="17">
        <v>6</v>
      </c>
      <c r="F27" s="8">
        <v>6</v>
      </c>
      <c r="G27" s="8">
        <v>6</v>
      </c>
      <c r="H27" s="8">
        <v>6</v>
      </c>
      <c r="I27" s="8">
        <v>6</v>
      </c>
      <c r="J27" s="8">
        <v>6</v>
      </c>
      <c r="K27" s="8">
        <v>7</v>
      </c>
      <c r="L27" s="8">
        <v>7</v>
      </c>
      <c r="P27" s="139"/>
      <c r="Q27" s="139"/>
      <c r="R27" s="139"/>
      <c r="S27" s="139"/>
      <c r="T27" s="139"/>
    </row>
    <row r="28" spans="1:30">
      <c r="A28" s="39">
        <v>25</v>
      </c>
      <c r="B28" s="171" t="s">
        <v>147</v>
      </c>
      <c r="C28" s="118">
        <v>1</v>
      </c>
      <c r="D28" s="196"/>
      <c r="E28" s="17">
        <v>6</v>
      </c>
      <c r="F28" s="8">
        <v>6</v>
      </c>
      <c r="G28" s="8">
        <v>7</v>
      </c>
      <c r="H28" s="8">
        <v>7</v>
      </c>
      <c r="I28" s="8">
        <v>7</v>
      </c>
      <c r="J28" s="8">
        <v>6</v>
      </c>
      <c r="K28" s="8">
        <v>6</v>
      </c>
      <c r="L28" s="8">
        <v>6</v>
      </c>
    </row>
    <row r="29" spans="1:30">
      <c r="A29" s="39">
        <v>26</v>
      </c>
      <c r="B29" s="171" t="s">
        <v>116</v>
      </c>
      <c r="C29" s="118">
        <v>1</v>
      </c>
      <c r="D29" s="181"/>
      <c r="E29" s="17">
        <v>7</v>
      </c>
      <c r="F29" s="8">
        <v>6</v>
      </c>
      <c r="G29" s="8">
        <v>6</v>
      </c>
      <c r="H29" s="8">
        <v>6</v>
      </c>
      <c r="I29" s="8">
        <v>6</v>
      </c>
      <c r="J29" s="8">
        <v>7</v>
      </c>
      <c r="K29" s="8">
        <v>7</v>
      </c>
      <c r="L29" s="8">
        <v>7</v>
      </c>
    </row>
    <row r="30" spans="1:30">
      <c r="A30" s="39">
        <v>27</v>
      </c>
      <c r="B30" s="171" t="s">
        <v>117</v>
      </c>
      <c r="C30" s="118"/>
      <c r="D30" s="180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P30" s="139"/>
      <c r="Q30" s="139"/>
      <c r="R30" s="139"/>
      <c r="S30" s="139"/>
      <c r="T30" s="139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39">
        <v>28</v>
      </c>
      <c r="B31" s="171" t="s">
        <v>191</v>
      </c>
      <c r="C31" s="118">
        <v>1</v>
      </c>
      <c r="D31" s="196"/>
      <c r="E31" s="17">
        <v>7</v>
      </c>
      <c r="F31" s="8">
        <v>7</v>
      </c>
      <c r="G31" s="8">
        <v>7</v>
      </c>
      <c r="H31" s="8">
        <v>6</v>
      </c>
      <c r="I31" s="8">
        <v>6</v>
      </c>
      <c r="J31" s="8">
        <v>7</v>
      </c>
      <c r="K31" s="8">
        <v>7</v>
      </c>
      <c r="L31" s="8">
        <v>7</v>
      </c>
      <c r="P31" s="139"/>
      <c r="Q31" s="139"/>
      <c r="R31" s="139"/>
      <c r="S31" s="139"/>
      <c r="T31" s="139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39">
        <v>29</v>
      </c>
      <c r="B32" s="171" t="s">
        <v>180</v>
      </c>
      <c r="C32" s="118">
        <v>1</v>
      </c>
      <c r="D32" s="181"/>
      <c r="E32" s="17">
        <v>7</v>
      </c>
      <c r="F32" s="8">
        <v>7</v>
      </c>
      <c r="G32" s="8">
        <v>6</v>
      </c>
      <c r="H32" s="8">
        <v>7</v>
      </c>
      <c r="I32" s="8">
        <v>7</v>
      </c>
      <c r="J32" s="8">
        <v>7</v>
      </c>
      <c r="K32" s="8">
        <v>7</v>
      </c>
      <c r="L32" s="8">
        <v>7</v>
      </c>
      <c r="P32" s="139"/>
      <c r="Q32" s="139"/>
      <c r="R32" s="139"/>
      <c r="S32" s="139"/>
      <c r="T32" s="139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39">
        <v>30</v>
      </c>
      <c r="B33" s="171" t="s">
        <v>218</v>
      </c>
      <c r="C33" s="118">
        <v>1</v>
      </c>
      <c r="D33" s="181"/>
      <c r="E33" s="17">
        <v>6</v>
      </c>
      <c r="F33" s="8">
        <v>7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P33" s="139"/>
      <c r="Q33" s="139"/>
      <c r="R33" s="139"/>
      <c r="S33" s="139"/>
      <c r="T33" s="139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39">
        <v>31</v>
      </c>
      <c r="B34" s="171" t="s">
        <v>148</v>
      </c>
      <c r="C34" s="118"/>
      <c r="D34" s="180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P34" s="139"/>
      <c r="Q34" s="139"/>
      <c r="R34" s="139"/>
      <c r="S34" s="139"/>
      <c r="T34" s="139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39">
        <v>32</v>
      </c>
      <c r="B35" s="171" t="s">
        <v>76</v>
      </c>
      <c r="C35" s="197">
        <v>1</v>
      </c>
      <c r="D35" s="196"/>
      <c r="E35" s="100">
        <v>6</v>
      </c>
      <c r="F35" s="92">
        <v>6</v>
      </c>
      <c r="G35" s="92">
        <v>7</v>
      </c>
      <c r="H35" s="92">
        <v>6</v>
      </c>
      <c r="I35" s="92">
        <v>6</v>
      </c>
      <c r="J35" s="92">
        <v>7</v>
      </c>
      <c r="K35" s="92">
        <v>7</v>
      </c>
      <c r="L35" s="92">
        <v>6</v>
      </c>
      <c r="P35" s="139"/>
      <c r="Q35" s="139"/>
      <c r="R35" s="139"/>
      <c r="S35" s="139"/>
      <c r="T35" s="139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38">
        <v>33</v>
      </c>
      <c r="B36" s="171" t="s">
        <v>38</v>
      </c>
      <c r="C36" s="118">
        <v>1</v>
      </c>
      <c r="D36" s="181"/>
      <c r="E36" s="17">
        <v>7</v>
      </c>
      <c r="F36" s="8">
        <v>7</v>
      </c>
      <c r="G36" s="8">
        <v>7</v>
      </c>
      <c r="H36" s="8">
        <v>6</v>
      </c>
      <c r="I36" s="8">
        <v>7</v>
      </c>
      <c r="J36" s="8">
        <v>7</v>
      </c>
      <c r="K36" s="8">
        <v>7</v>
      </c>
      <c r="L36" s="8">
        <v>7</v>
      </c>
      <c r="P36" s="139"/>
      <c r="Q36" s="139"/>
      <c r="R36" s="139"/>
      <c r="S36" s="139"/>
      <c r="T36" s="139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39">
        <v>34</v>
      </c>
      <c r="B37" s="171" t="s">
        <v>77</v>
      </c>
      <c r="C37" s="118">
        <v>1</v>
      </c>
      <c r="D37" s="181"/>
      <c r="E37" s="17">
        <v>6</v>
      </c>
      <c r="F37" s="8">
        <v>6</v>
      </c>
      <c r="G37" s="8">
        <v>7</v>
      </c>
      <c r="H37" s="8">
        <v>6</v>
      </c>
      <c r="I37" s="8">
        <v>7</v>
      </c>
      <c r="J37" s="8">
        <v>7</v>
      </c>
      <c r="K37" s="8">
        <v>7</v>
      </c>
      <c r="L37" s="8">
        <v>6</v>
      </c>
      <c r="P37" s="139"/>
      <c r="Q37" s="139"/>
      <c r="R37" s="139"/>
      <c r="S37" s="139"/>
      <c r="T37" s="139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39">
        <v>35</v>
      </c>
      <c r="B38" s="171" t="s">
        <v>234</v>
      </c>
      <c r="C38" s="118"/>
      <c r="D38" s="180">
        <v>1</v>
      </c>
      <c r="E38" s="79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  <c r="P38" s="139"/>
      <c r="Q38" s="139"/>
      <c r="R38" s="139"/>
      <c r="S38" s="139"/>
      <c r="T38" s="139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39">
        <v>36</v>
      </c>
      <c r="B39" s="171" t="s">
        <v>183</v>
      </c>
      <c r="C39" s="118">
        <v>1</v>
      </c>
      <c r="D39" s="196"/>
      <c r="E39" s="100">
        <v>7</v>
      </c>
      <c r="F39" s="92">
        <v>7</v>
      </c>
      <c r="G39" s="92">
        <v>7</v>
      </c>
      <c r="H39" s="92">
        <v>6</v>
      </c>
      <c r="I39" s="92">
        <v>6</v>
      </c>
      <c r="J39" s="92">
        <v>7</v>
      </c>
      <c r="K39" s="92">
        <v>7</v>
      </c>
      <c r="L39" s="92">
        <v>7</v>
      </c>
      <c r="P39" s="139"/>
      <c r="Q39" s="139"/>
      <c r="R39" s="139"/>
      <c r="S39" s="139"/>
      <c r="T39" s="139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39">
        <v>37</v>
      </c>
      <c r="B40" s="171" t="s">
        <v>220</v>
      </c>
      <c r="C40" s="118">
        <v>1</v>
      </c>
      <c r="D40" s="181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9"/>
      <c r="Q40" s="139"/>
      <c r="R40" s="139"/>
      <c r="S40" s="139"/>
      <c r="T40" s="13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39">
        <v>38</v>
      </c>
      <c r="B41" s="171" t="s">
        <v>221</v>
      </c>
      <c r="C41" s="195"/>
      <c r="D41" s="180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P41" s="139"/>
      <c r="Q41" s="139"/>
      <c r="R41" s="139"/>
      <c r="S41" s="139"/>
      <c r="T41" s="139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39">
        <v>39</v>
      </c>
      <c r="B42" s="171" t="s">
        <v>120</v>
      </c>
      <c r="C42" s="118">
        <v>1</v>
      </c>
      <c r="D42" s="196"/>
      <c r="E42" s="17">
        <v>7</v>
      </c>
      <c r="F42" s="8">
        <v>7</v>
      </c>
      <c r="G42" s="8">
        <v>7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30">
      <c r="A43" s="39">
        <v>40</v>
      </c>
      <c r="B43" s="171" t="s">
        <v>241</v>
      </c>
      <c r="C43" s="118">
        <v>1</v>
      </c>
      <c r="D43" s="181"/>
      <c r="E43" s="17">
        <v>6</v>
      </c>
      <c r="F43" s="8">
        <v>6</v>
      </c>
      <c r="G43" s="8">
        <v>7</v>
      </c>
      <c r="H43" s="8">
        <v>6</v>
      </c>
      <c r="I43" s="8">
        <v>6</v>
      </c>
      <c r="J43" s="8">
        <v>7</v>
      </c>
      <c r="K43" s="8">
        <v>7</v>
      </c>
      <c r="L43" s="8">
        <v>6</v>
      </c>
    </row>
    <row r="44" spans="1:30">
      <c r="A44" s="39">
        <v>41</v>
      </c>
      <c r="B44" s="171" t="s">
        <v>137</v>
      </c>
      <c r="C44" s="118"/>
      <c r="D44" s="180">
        <v>1</v>
      </c>
      <c r="E44" s="79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</row>
    <row r="45" spans="1:30">
      <c r="A45" s="39">
        <v>42</v>
      </c>
      <c r="B45" s="171" t="s">
        <v>242</v>
      </c>
      <c r="C45" s="118">
        <v>1</v>
      </c>
      <c r="D45" s="181"/>
      <c r="E45" s="17">
        <v>6</v>
      </c>
      <c r="F45" s="8">
        <v>6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6</v>
      </c>
    </row>
    <row r="46" spans="1:30">
      <c r="A46" s="39">
        <v>43</v>
      </c>
      <c r="B46" s="171" t="s">
        <v>106</v>
      </c>
      <c r="C46" s="118"/>
      <c r="D46" s="180">
        <v>1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30">
      <c r="A47" s="39">
        <v>44</v>
      </c>
      <c r="B47" s="171" t="s">
        <v>107</v>
      </c>
      <c r="C47" s="118">
        <v>1</v>
      </c>
      <c r="D47" s="196"/>
      <c r="E47" s="17">
        <v>7</v>
      </c>
      <c r="F47" s="8">
        <v>7</v>
      </c>
      <c r="G47" s="8">
        <v>7</v>
      </c>
      <c r="H47" s="8">
        <v>7</v>
      </c>
      <c r="I47" s="8">
        <v>7</v>
      </c>
      <c r="J47" s="8">
        <v>7</v>
      </c>
      <c r="K47" s="8">
        <v>7</v>
      </c>
      <c r="L47" s="8">
        <v>7</v>
      </c>
    </row>
    <row r="48" spans="1:30">
      <c r="A48" s="39">
        <v>45</v>
      </c>
      <c r="B48" s="171" t="s">
        <v>185</v>
      </c>
      <c r="C48" s="118"/>
      <c r="D48" s="180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30">
      <c r="A49" s="39">
        <v>46</v>
      </c>
      <c r="B49" s="171" t="s">
        <v>243</v>
      </c>
      <c r="C49" s="118">
        <v>1</v>
      </c>
      <c r="D49" s="181"/>
      <c r="E49" s="17">
        <v>7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30">
      <c r="A50" s="39">
        <v>47</v>
      </c>
      <c r="B50" s="171" t="s">
        <v>248</v>
      </c>
      <c r="C50" s="118"/>
      <c r="D50" s="180">
        <v>1</v>
      </c>
      <c r="E50" s="79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</row>
    <row r="51" spans="1:30">
      <c r="A51" s="38">
        <v>48</v>
      </c>
      <c r="B51" s="171" t="s">
        <v>249</v>
      </c>
      <c r="C51" s="118">
        <v>1</v>
      </c>
      <c r="D51" s="181"/>
      <c r="E51" s="17">
        <v>6</v>
      </c>
      <c r="F51" s="8">
        <v>7</v>
      </c>
      <c r="G51" s="8">
        <v>7</v>
      </c>
      <c r="H51" s="8">
        <v>6</v>
      </c>
      <c r="I51" s="8">
        <v>7</v>
      </c>
      <c r="J51" s="8">
        <v>7</v>
      </c>
      <c r="K51" s="8">
        <v>7</v>
      </c>
      <c r="L51" s="8">
        <v>7</v>
      </c>
    </row>
    <row r="52" spans="1:30">
      <c r="A52" s="39">
        <v>49</v>
      </c>
      <c r="B52" s="171" t="s">
        <v>250</v>
      </c>
      <c r="C52" s="118"/>
      <c r="D52" s="180">
        <v>1</v>
      </c>
      <c r="E52" s="79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</row>
    <row r="53" spans="1:30">
      <c r="A53" s="39">
        <v>50</v>
      </c>
      <c r="B53" s="171" t="s">
        <v>251</v>
      </c>
      <c r="C53" s="118">
        <v>1</v>
      </c>
      <c r="D53" s="196"/>
      <c r="E53" s="17">
        <v>7</v>
      </c>
      <c r="F53" s="8">
        <v>7</v>
      </c>
      <c r="G53" s="8">
        <v>7</v>
      </c>
      <c r="H53" s="8">
        <v>7</v>
      </c>
      <c r="I53" s="8">
        <v>6</v>
      </c>
      <c r="J53" s="8">
        <v>7</v>
      </c>
      <c r="K53" s="8">
        <v>7</v>
      </c>
      <c r="L53" s="8">
        <v>7</v>
      </c>
    </row>
    <row r="54" spans="1:30">
      <c r="A54" s="30"/>
      <c r="B54" s="4"/>
      <c r="C54" s="4">
        <f>SUM(C4:C53)</f>
        <v>36</v>
      </c>
      <c r="D54" s="4">
        <f>SUM(D4:D53)</f>
        <v>14</v>
      </c>
      <c r="I54" s="1"/>
      <c r="J54" s="1"/>
      <c r="K54" s="139"/>
      <c r="L54" s="138"/>
      <c r="M54" s="138"/>
      <c r="N54" s="138"/>
      <c r="O54" s="167"/>
      <c r="P54" s="168"/>
      <c r="Q54" s="172"/>
      <c r="R54" s="168"/>
      <c r="S54" s="168"/>
      <c r="T54" s="168"/>
      <c r="U54" s="168"/>
      <c r="V54" s="168"/>
      <c r="W54" s="139"/>
    </row>
    <row r="55" spans="1:30">
      <c r="A55" s="29"/>
      <c r="B55" s="30"/>
      <c r="C55" s="45">
        <f>+C54/50</f>
        <v>0.72</v>
      </c>
      <c r="D55" s="45">
        <f>+D54/50</f>
        <v>0.28000000000000003</v>
      </c>
      <c r="J55" s="1"/>
      <c r="K55" s="1"/>
      <c r="L55" s="139"/>
      <c r="M55" s="138"/>
      <c r="N55" s="173"/>
      <c r="O55" s="138"/>
      <c r="T55" s="139"/>
      <c r="U55" s="139"/>
      <c r="V55" s="139"/>
      <c r="W55" s="139"/>
      <c r="AA55" s="1"/>
      <c r="AB55" s="1"/>
      <c r="AC55" s="1"/>
      <c r="AD55" s="1"/>
    </row>
    <row r="56" spans="1:30">
      <c r="A56" s="29"/>
      <c r="B56" s="30"/>
      <c r="C56" s="29"/>
      <c r="O56" s="138"/>
      <c r="U56" s="139"/>
      <c r="V56" s="139"/>
      <c r="W56" s="139"/>
      <c r="AB56" s="1"/>
      <c r="AC56" s="1"/>
      <c r="AD56" s="1"/>
    </row>
    <row r="57" spans="1:30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30">
      <c r="A58" s="29"/>
      <c r="B58" s="30"/>
      <c r="C58" s="29"/>
      <c r="D58" s="68">
        <v>7</v>
      </c>
      <c r="E58" s="64">
        <v>15</v>
      </c>
      <c r="F58" s="64">
        <v>11</v>
      </c>
      <c r="G58" s="64">
        <v>31</v>
      </c>
      <c r="H58" s="64">
        <v>1</v>
      </c>
      <c r="I58" s="64">
        <v>3</v>
      </c>
      <c r="J58" s="64">
        <v>34</v>
      </c>
      <c r="K58" s="64">
        <v>32</v>
      </c>
      <c r="L58" s="65">
        <v>13</v>
      </c>
    </row>
    <row r="59" spans="1:30">
      <c r="A59" s="29"/>
      <c r="B59" s="30"/>
      <c r="C59" s="29"/>
      <c r="D59" s="69">
        <v>6</v>
      </c>
      <c r="E59" s="4">
        <v>21</v>
      </c>
      <c r="F59" s="4">
        <v>25</v>
      </c>
      <c r="G59" s="4">
        <v>5</v>
      </c>
      <c r="H59" s="4">
        <v>35</v>
      </c>
      <c r="I59" s="4">
        <v>33</v>
      </c>
      <c r="J59" s="4">
        <v>2</v>
      </c>
      <c r="K59" s="4">
        <v>4</v>
      </c>
      <c r="L59" s="66">
        <v>23</v>
      </c>
    </row>
    <row r="60" spans="1:30">
      <c r="A60" s="29"/>
      <c r="B60" s="30"/>
      <c r="C60" s="29"/>
      <c r="D60" s="69">
        <v>5</v>
      </c>
      <c r="L60" s="66"/>
    </row>
    <row r="61" spans="1:30">
      <c r="A61" s="29"/>
      <c r="B61" s="30"/>
      <c r="C61" s="29"/>
      <c r="D61" s="69">
        <v>4</v>
      </c>
      <c r="L61" s="66"/>
    </row>
    <row r="62" spans="1:30">
      <c r="A62" s="29"/>
      <c r="C62" s="1"/>
      <c r="D62" s="69">
        <v>3</v>
      </c>
      <c r="L62" s="66"/>
    </row>
    <row r="63" spans="1:30">
      <c r="C63" s="1"/>
      <c r="D63" s="69">
        <v>2</v>
      </c>
      <c r="L63" s="66"/>
    </row>
    <row r="64" spans="1:30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>SUM(E58:E64)</f>
        <v>36</v>
      </c>
      <c r="F65" s="4">
        <f t="shared" ref="F65:L65" si="6">SUM(F58:F64)</f>
        <v>36</v>
      </c>
      <c r="G65" s="4">
        <f t="shared" si="6"/>
        <v>36</v>
      </c>
      <c r="H65" s="4">
        <f t="shared" si="6"/>
        <v>36</v>
      </c>
      <c r="I65" s="4">
        <f t="shared" si="6"/>
        <v>36</v>
      </c>
      <c r="J65" s="4">
        <f t="shared" si="6"/>
        <v>36</v>
      </c>
      <c r="K65" s="4">
        <f t="shared" si="6"/>
        <v>36</v>
      </c>
      <c r="L65" s="4">
        <f t="shared" si="6"/>
        <v>36</v>
      </c>
    </row>
    <row r="66" spans="1:14">
      <c r="C66" s="1"/>
      <c r="D66" s="1"/>
    </row>
    <row r="67" spans="1:14">
      <c r="D67" s="28" t="s">
        <v>59</v>
      </c>
      <c r="E67" s="4">
        <f>$C54*7</f>
        <v>252</v>
      </c>
      <c r="F67" s="4">
        <f t="shared" ref="F67:K67" si="7">$C54*7</f>
        <v>252</v>
      </c>
      <c r="G67" s="4">
        <f t="shared" si="7"/>
        <v>252</v>
      </c>
      <c r="H67" s="4">
        <f t="shared" si="7"/>
        <v>252</v>
      </c>
      <c r="I67" s="4">
        <f t="shared" si="7"/>
        <v>252</v>
      </c>
      <c r="J67" s="4">
        <f t="shared" si="7"/>
        <v>252</v>
      </c>
      <c r="K67" s="4">
        <f t="shared" si="7"/>
        <v>252</v>
      </c>
      <c r="L67" s="4">
        <f>$C54*7</f>
        <v>252</v>
      </c>
      <c r="M67" s="1">
        <f>SUM(E67:L67)</f>
        <v>2016</v>
      </c>
    </row>
    <row r="68" spans="1:14" ht="17" thickBot="1">
      <c r="D68" s="28" t="s">
        <v>60</v>
      </c>
      <c r="E68" s="4">
        <f>SUM(E4:E53)</f>
        <v>233</v>
      </c>
      <c r="F68" s="4">
        <f t="shared" ref="F68:K68" si="8">SUM(F4:F53)</f>
        <v>231</v>
      </c>
      <c r="G68" s="4">
        <f t="shared" si="8"/>
        <v>248</v>
      </c>
      <c r="H68" s="4">
        <f t="shared" si="8"/>
        <v>222</v>
      </c>
      <c r="I68" s="4">
        <f t="shared" si="8"/>
        <v>227</v>
      </c>
      <c r="J68" s="4">
        <f t="shared" si="8"/>
        <v>250</v>
      </c>
      <c r="K68" s="4">
        <f t="shared" si="8"/>
        <v>249</v>
      </c>
      <c r="L68" s="4">
        <f>SUM(L4:L53)</f>
        <v>237</v>
      </c>
      <c r="M68" s="1">
        <f>SUM(E68:L68)</f>
        <v>1897</v>
      </c>
    </row>
    <row r="69" spans="1:14" ht="22.5" customHeight="1" thickBot="1">
      <c r="E69" s="45">
        <f t="shared" ref="E69:L69" si="9">+E68/E67</f>
        <v>0.92460317460317465</v>
      </c>
      <c r="F69" s="45">
        <f t="shared" si="9"/>
        <v>0.91666666666666663</v>
      </c>
      <c r="G69" s="45">
        <f t="shared" si="9"/>
        <v>0.98412698412698407</v>
      </c>
      <c r="H69" s="45">
        <f t="shared" si="9"/>
        <v>0.88095238095238093</v>
      </c>
      <c r="I69" s="45">
        <f t="shared" si="9"/>
        <v>0.90079365079365081</v>
      </c>
      <c r="J69" s="45">
        <f t="shared" si="9"/>
        <v>0.99206349206349209</v>
      </c>
      <c r="K69" s="45">
        <f t="shared" si="9"/>
        <v>0.98809523809523814</v>
      </c>
      <c r="L69" s="45">
        <f t="shared" si="9"/>
        <v>0.94047619047619047</v>
      </c>
      <c r="M69" s="137">
        <f>+M68/M67</f>
        <v>0.94097222222222221</v>
      </c>
    </row>
    <row r="70" spans="1:14" ht="29.25" customHeight="1" thickBot="1">
      <c r="E70" s="1"/>
      <c r="F70" s="1"/>
      <c r="G70" s="1"/>
      <c r="H70" s="1"/>
      <c r="I70" s="1"/>
      <c r="J70" s="1"/>
      <c r="K70" s="1"/>
      <c r="L70" s="1"/>
    </row>
    <row r="71" spans="1:14" ht="31.5" customHeight="1" thickBot="1">
      <c r="A71" s="190"/>
      <c r="B71" s="191" t="s">
        <v>63</v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3"/>
      <c r="N71" s="194"/>
    </row>
    <row r="72" spans="1:14" ht="31.5" customHeight="1">
      <c r="A72" s="182"/>
      <c r="B72" s="183" t="s">
        <v>256</v>
      </c>
      <c r="N72" s="184"/>
    </row>
    <row r="73" spans="1:14" ht="31.5" customHeight="1" thickBot="1">
      <c r="A73" s="182"/>
      <c r="B73" s="185" t="s">
        <v>257</v>
      </c>
      <c r="N73" s="184"/>
    </row>
    <row r="74" spans="1:14" ht="31.5" customHeight="1" thickBot="1">
      <c r="A74" s="182"/>
      <c r="B74" s="185" t="s">
        <v>225</v>
      </c>
      <c r="L74" s="202" t="s">
        <v>92</v>
      </c>
      <c r="M74" s="203"/>
      <c r="N74" s="184"/>
    </row>
    <row r="75" spans="1:14" ht="31.5" customHeight="1" thickBot="1">
      <c r="A75" s="186"/>
      <c r="B75" s="187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7"/>
      <c r="N75" s="189"/>
    </row>
  </sheetData>
  <mergeCells count="3">
    <mergeCell ref="P3:R3"/>
    <mergeCell ref="D57:L57"/>
    <mergeCell ref="L74:M74"/>
  </mergeCells>
  <phoneticPr fontId="12"/>
  <pageMargins left="0.70866141732283472" right="0.70866141732283472" top="0.74803149606299213" bottom="0.74803149606299213" header="0.31496062992125984" footer="0.31496062992125984"/>
  <pageSetup paperSize="9" scale="79" orientation="portrait" r:id="rId1"/>
  <rowBreaks count="1" manualBreakCount="1">
    <brk id="56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BBC6-FB2D-416F-894D-9B5A7C1E0733}">
  <dimension ref="A1:AD75"/>
  <sheetViews>
    <sheetView zoomScale="90" zoomScaleNormal="90" workbookViewId="0">
      <selection activeCell="G8" sqref="G8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5" width="5.5" style="4" customWidth="1"/>
    <col min="6" max="9" width="5.83203125" style="4" customWidth="1"/>
    <col min="10" max="10" width="6.6640625" style="4" customWidth="1"/>
    <col min="11" max="11" width="6.1640625" style="4" customWidth="1"/>
    <col min="12" max="12" width="5.83203125" style="4" customWidth="1"/>
    <col min="13" max="13" width="6.1640625" style="1" customWidth="1"/>
    <col min="14" max="14" width="4.5" style="1" customWidth="1"/>
    <col min="15" max="15" width="36.6640625" style="139" customWidth="1"/>
    <col min="16" max="16" width="5.6640625" style="138" customWidth="1"/>
    <col min="17" max="17" width="5.83203125" style="138" customWidth="1"/>
    <col min="18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255</v>
      </c>
      <c r="O1" s="160" t="str">
        <f>+A1</f>
        <v>Customer Satisfaction Survey 2023 Check List ( By Telephone on 15 September 2023 )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71" t="s">
        <v>2</v>
      </c>
      <c r="C4" s="118"/>
      <c r="D4" s="180"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71" t="s">
        <v>125</v>
      </c>
      <c r="C5" s="118">
        <v>1</v>
      </c>
      <c r="D5" s="181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20</v>
      </c>
      <c r="V5" s="145">
        <f>+E58</f>
        <v>14</v>
      </c>
      <c r="W5" s="138">
        <f>SUM(P5:V5)</f>
        <v>34</v>
      </c>
      <c r="X5" s="138"/>
      <c r="Y5" s="139">
        <f t="shared" ref="Y5:Y12" si="0">+W5*7</f>
        <v>238</v>
      </c>
      <c r="AA5" s="139">
        <f t="shared" ref="AA5:AA12" si="1">+P5*P$4+Q5*Q$4+R5*R$4+S5*S$4+T5*T$4+U5*U$4+V5*V$4</f>
        <v>218</v>
      </c>
    </row>
    <row r="6" spans="1:30">
      <c r="A6" s="39">
        <v>3</v>
      </c>
      <c r="B6" s="171" t="s">
        <v>143</v>
      </c>
      <c r="C6" s="118">
        <v>1</v>
      </c>
      <c r="D6" s="181"/>
      <c r="E6" s="17">
        <v>7</v>
      </c>
      <c r="F6" s="8">
        <v>7</v>
      </c>
      <c r="G6" s="8">
        <v>7</v>
      </c>
      <c r="H6" s="8">
        <v>6</v>
      </c>
      <c r="I6" s="8">
        <v>6</v>
      </c>
      <c r="J6" s="8">
        <v>7</v>
      </c>
      <c r="K6" s="8">
        <v>7</v>
      </c>
      <c r="L6" s="8">
        <v>7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23</v>
      </c>
      <c r="V6" s="145">
        <f>+F58</f>
        <v>11</v>
      </c>
      <c r="W6" s="138">
        <f t="shared" ref="W6:W12" si="2">SUM(P6:V6)</f>
        <v>34</v>
      </c>
      <c r="X6" s="138"/>
      <c r="Y6" s="139">
        <f t="shared" si="0"/>
        <v>238</v>
      </c>
      <c r="AA6" s="139">
        <f t="shared" si="1"/>
        <v>215</v>
      </c>
    </row>
    <row r="7" spans="1:30">
      <c r="A7" s="38">
        <v>4</v>
      </c>
      <c r="B7" s="171" t="s">
        <v>162</v>
      </c>
      <c r="C7" s="118">
        <v>1</v>
      </c>
      <c r="D7" s="181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1</v>
      </c>
      <c r="U7" s="145">
        <f>+G59</f>
        <v>5</v>
      </c>
      <c r="V7" s="145">
        <f>+G58</f>
        <v>28</v>
      </c>
      <c r="W7" s="138">
        <f t="shared" si="2"/>
        <v>34</v>
      </c>
      <c r="X7" s="138"/>
      <c r="Y7" s="139">
        <f t="shared" si="0"/>
        <v>238</v>
      </c>
      <c r="AA7" s="139">
        <f t="shared" si="1"/>
        <v>231</v>
      </c>
    </row>
    <row r="8" spans="1:30">
      <c r="A8" s="39">
        <v>5</v>
      </c>
      <c r="B8" s="171" t="s">
        <v>14</v>
      </c>
      <c r="C8" s="118">
        <v>1</v>
      </c>
      <c r="D8" s="181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33</v>
      </c>
      <c r="V8" s="145">
        <f>+H58</f>
        <v>1</v>
      </c>
      <c r="W8" s="138">
        <f t="shared" si="2"/>
        <v>34</v>
      </c>
      <c r="X8" s="138"/>
      <c r="Y8" s="139">
        <f t="shared" si="0"/>
        <v>238</v>
      </c>
      <c r="AA8" s="139">
        <f t="shared" si="1"/>
        <v>205</v>
      </c>
    </row>
    <row r="9" spans="1:30">
      <c r="A9" s="38">
        <v>6</v>
      </c>
      <c r="B9" s="171" t="s">
        <v>96</v>
      </c>
      <c r="C9" s="118"/>
      <c r="D9" s="180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31</v>
      </c>
      <c r="V9" s="145">
        <f>+I58</f>
        <v>3</v>
      </c>
      <c r="W9" s="138">
        <f t="shared" si="2"/>
        <v>34</v>
      </c>
      <c r="X9" s="138"/>
      <c r="Y9" s="139">
        <f t="shared" si="0"/>
        <v>238</v>
      </c>
      <c r="AA9" s="139">
        <f t="shared" si="1"/>
        <v>207</v>
      </c>
    </row>
    <row r="10" spans="1:30">
      <c r="A10" s="39">
        <v>7</v>
      </c>
      <c r="B10" s="171" t="s">
        <v>190</v>
      </c>
      <c r="C10" s="118"/>
      <c r="D10" s="180">
        <v>1</v>
      </c>
      <c r="E10" s="79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2</v>
      </c>
      <c r="V10" s="145">
        <f>+J58</f>
        <v>32</v>
      </c>
      <c r="W10" s="138">
        <f t="shared" si="2"/>
        <v>34</v>
      </c>
      <c r="X10" s="138"/>
      <c r="Y10" s="139">
        <f t="shared" si="0"/>
        <v>238</v>
      </c>
      <c r="AA10" s="139">
        <f t="shared" si="1"/>
        <v>236</v>
      </c>
    </row>
    <row r="11" spans="1:30">
      <c r="A11" s="39">
        <v>8</v>
      </c>
      <c r="B11" s="171" t="s">
        <v>165</v>
      </c>
      <c r="C11" s="118">
        <v>1</v>
      </c>
      <c r="D11" s="181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3</v>
      </c>
      <c r="V11" s="145">
        <f>+K58</f>
        <v>31</v>
      </c>
      <c r="W11" s="138">
        <f t="shared" si="2"/>
        <v>34</v>
      </c>
      <c r="X11" s="138"/>
      <c r="Y11" s="139">
        <f t="shared" si="0"/>
        <v>238</v>
      </c>
      <c r="AA11" s="139">
        <f t="shared" si="1"/>
        <v>235</v>
      </c>
    </row>
    <row r="12" spans="1:30">
      <c r="A12" s="39">
        <v>9</v>
      </c>
      <c r="B12" s="171" t="s">
        <v>100</v>
      </c>
      <c r="C12" s="118">
        <v>1</v>
      </c>
      <c r="D12" s="196"/>
      <c r="E12" s="17">
        <v>6</v>
      </c>
      <c r="F12" s="8">
        <v>6</v>
      </c>
      <c r="G12" s="8">
        <v>7</v>
      </c>
      <c r="H12" s="8">
        <v>6</v>
      </c>
      <c r="I12" s="8">
        <v>6</v>
      </c>
      <c r="J12" s="8">
        <v>7</v>
      </c>
      <c r="K12" s="8">
        <v>7</v>
      </c>
      <c r="L12" s="8">
        <v>6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22</v>
      </c>
      <c r="V12" s="145">
        <f>+L58</f>
        <v>12</v>
      </c>
      <c r="W12" s="138">
        <f t="shared" si="2"/>
        <v>34</v>
      </c>
      <c r="X12" s="138"/>
      <c r="Y12" s="139">
        <f t="shared" si="0"/>
        <v>238</v>
      </c>
      <c r="AA12" s="139">
        <f t="shared" si="1"/>
        <v>216</v>
      </c>
    </row>
    <row r="13" spans="1:30" ht="17" thickBot="1">
      <c r="A13" s="38">
        <v>10</v>
      </c>
      <c r="B13" s="171" t="s">
        <v>22</v>
      </c>
      <c r="C13" s="118">
        <v>1</v>
      </c>
      <c r="D13" s="181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  <c r="O13" s="146" t="s">
        <v>204</v>
      </c>
      <c r="P13" s="138">
        <f>SUM(P5:P12)</f>
        <v>0</v>
      </c>
      <c r="Q13" s="138">
        <f t="shared" ref="Q13:V13" si="3">SUM(Q5:Q12)</f>
        <v>0</v>
      </c>
      <c r="R13" s="138">
        <f t="shared" si="3"/>
        <v>0</v>
      </c>
      <c r="S13" s="138">
        <f t="shared" si="3"/>
        <v>0</v>
      </c>
      <c r="T13" s="138">
        <f t="shared" si="3"/>
        <v>1</v>
      </c>
      <c r="U13" s="138">
        <f t="shared" si="3"/>
        <v>139</v>
      </c>
      <c r="V13" s="138">
        <f t="shared" si="3"/>
        <v>132</v>
      </c>
      <c r="W13" s="147">
        <f>SUM(W5:W12)</f>
        <v>272</v>
      </c>
      <c r="X13" s="138"/>
      <c r="Y13" s="148">
        <f>SUM(Y5:Y12)</f>
        <v>1904</v>
      </c>
      <c r="AA13" s="148">
        <f>SUM(AA5:AA12)</f>
        <v>1763</v>
      </c>
    </row>
    <row r="14" spans="1:30" ht="17" thickTop="1">
      <c r="A14" s="38">
        <v>11</v>
      </c>
      <c r="B14" s="171" t="s">
        <v>167</v>
      </c>
      <c r="C14" s="118"/>
      <c r="D14" s="180">
        <v>1</v>
      </c>
      <c r="E14" s="79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</row>
    <row r="15" spans="1:30">
      <c r="A15" s="39">
        <v>12</v>
      </c>
      <c r="B15" s="171" t="s">
        <v>24</v>
      </c>
      <c r="C15" s="118">
        <v>1</v>
      </c>
      <c r="D15" s="181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4">+P13/$W$13</f>
        <v>0</v>
      </c>
      <c r="Q15" s="162">
        <f t="shared" si="4"/>
        <v>0</v>
      </c>
      <c r="R15" s="162">
        <f t="shared" si="4"/>
        <v>0</v>
      </c>
      <c r="S15" s="162">
        <f t="shared" si="4"/>
        <v>0</v>
      </c>
      <c r="T15" s="162">
        <f t="shared" si="4"/>
        <v>3.6764705882352941E-3</v>
      </c>
      <c r="U15" s="162">
        <f t="shared" si="4"/>
        <v>0.51102941176470584</v>
      </c>
      <c r="V15" s="162">
        <f t="shared" si="4"/>
        <v>0.48529411764705882</v>
      </c>
      <c r="W15" s="149">
        <f t="shared" si="4"/>
        <v>1</v>
      </c>
      <c r="X15"/>
      <c r="Y15" s="150"/>
      <c r="Z15" s="151" t="s">
        <v>205</v>
      </c>
      <c r="AA15" s="152">
        <f>+AA13/Y13*100</f>
        <v>92.59453781512606</v>
      </c>
      <c r="AB15"/>
      <c r="AC15"/>
      <c r="AD15"/>
    </row>
    <row r="16" spans="1:30">
      <c r="A16" s="38">
        <v>13</v>
      </c>
      <c r="B16" s="171" t="s">
        <v>25</v>
      </c>
      <c r="C16" s="118">
        <v>1</v>
      </c>
      <c r="D16" s="181"/>
      <c r="E16" s="17">
        <v>6</v>
      </c>
      <c r="F16" s="8">
        <v>6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6</v>
      </c>
    </row>
    <row r="17" spans="1:30">
      <c r="A17" s="38">
        <v>14</v>
      </c>
      <c r="B17" s="171" t="s">
        <v>113</v>
      </c>
      <c r="C17" s="118"/>
      <c r="D17" s="180">
        <v>1</v>
      </c>
      <c r="E17" s="79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30">
      <c r="A18" s="39">
        <v>15</v>
      </c>
      <c r="B18" s="171" t="s">
        <v>170</v>
      </c>
      <c r="C18" s="118"/>
      <c r="D18" s="180">
        <v>1</v>
      </c>
      <c r="E18" s="79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O18" s="144" t="s">
        <v>196</v>
      </c>
      <c r="P18" s="154">
        <f t="shared" ref="P18:V25" si="5">+P5/$W5</f>
        <v>0</v>
      </c>
      <c r="Q18" s="154">
        <f t="shared" si="5"/>
        <v>0</v>
      </c>
      <c r="R18" s="154">
        <f t="shared" si="5"/>
        <v>0</v>
      </c>
      <c r="S18" s="154">
        <f t="shared" si="5"/>
        <v>0</v>
      </c>
      <c r="T18" s="154">
        <f t="shared" si="5"/>
        <v>0</v>
      </c>
      <c r="U18" s="154">
        <f t="shared" si="5"/>
        <v>0.58823529411764708</v>
      </c>
      <c r="V18" s="154">
        <f t="shared" si="5"/>
        <v>0.41176470588235292</v>
      </c>
      <c r="W18" s="170">
        <f>SUM(P18:V18)</f>
        <v>1</v>
      </c>
    </row>
    <row r="19" spans="1:30">
      <c r="A19" s="39">
        <v>16</v>
      </c>
      <c r="B19" s="171" t="s">
        <v>114</v>
      </c>
      <c r="C19" s="118">
        <v>1</v>
      </c>
      <c r="D19" s="196"/>
      <c r="E19" s="17">
        <v>7</v>
      </c>
      <c r="F19" s="8">
        <v>7</v>
      </c>
      <c r="G19" s="8">
        <v>7</v>
      </c>
      <c r="H19" s="8">
        <v>6</v>
      </c>
      <c r="I19" s="8">
        <v>6</v>
      </c>
      <c r="J19" s="8">
        <v>7</v>
      </c>
      <c r="K19" s="8">
        <v>7</v>
      </c>
      <c r="L19" s="8">
        <v>7</v>
      </c>
      <c r="O19" s="144" t="s">
        <v>196</v>
      </c>
      <c r="P19" s="154">
        <f t="shared" si="5"/>
        <v>0</v>
      </c>
      <c r="Q19" s="154">
        <f t="shared" si="5"/>
        <v>0</v>
      </c>
      <c r="R19" s="154">
        <f t="shared" si="5"/>
        <v>0</v>
      </c>
      <c r="S19" s="154">
        <f t="shared" si="5"/>
        <v>0</v>
      </c>
      <c r="T19" s="154">
        <f t="shared" si="5"/>
        <v>0</v>
      </c>
      <c r="U19" s="154">
        <f t="shared" si="5"/>
        <v>0.67647058823529416</v>
      </c>
      <c r="V19" s="154">
        <f t="shared" si="5"/>
        <v>0.3235294117647059</v>
      </c>
      <c r="W19" s="170">
        <f t="shared" ref="W19:W25" si="6">SUM(P19:V19)</f>
        <v>1</v>
      </c>
      <c r="X19" s="170"/>
    </row>
    <row r="20" spans="1:30">
      <c r="A20" s="39">
        <v>17</v>
      </c>
      <c r="B20" s="171" t="s">
        <v>232</v>
      </c>
      <c r="C20" s="118">
        <v>1</v>
      </c>
      <c r="D20" s="181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si="5"/>
        <v>0</v>
      </c>
      <c r="Q20" s="154">
        <f t="shared" si="5"/>
        <v>0</v>
      </c>
      <c r="R20" s="154">
        <f t="shared" si="5"/>
        <v>0</v>
      </c>
      <c r="S20" s="154">
        <f t="shared" si="5"/>
        <v>0</v>
      </c>
      <c r="T20" s="154">
        <f t="shared" si="5"/>
        <v>2.9411764705882353E-2</v>
      </c>
      <c r="U20" s="154">
        <f t="shared" si="5"/>
        <v>0.14705882352941177</v>
      </c>
      <c r="V20" s="154">
        <f t="shared" si="5"/>
        <v>0.82352941176470584</v>
      </c>
      <c r="W20" s="170">
        <f t="shared" si="6"/>
        <v>1</v>
      </c>
      <c r="X20" s="170"/>
    </row>
    <row r="21" spans="1:30">
      <c r="A21" s="39">
        <v>18</v>
      </c>
      <c r="B21" s="171" t="s">
        <v>246</v>
      </c>
      <c r="C21" s="118"/>
      <c r="D21" s="180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O21" s="144" t="s">
        <v>199</v>
      </c>
      <c r="P21" s="154">
        <f t="shared" si="5"/>
        <v>0</v>
      </c>
      <c r="Q21" s="154">
        <f t="shared" si="5"/>
        <v>0</v>
      </c>
      <c r="R21" s="154">
        <f t="shared" si="5"/>
        <v>0</v>
      </c>
      <c r="S21" s="154">
        <f t="shared" si="5"/>
        <v>0</v>
      </c>
      <c r="T21" s="154">
        <f t="shared" si="5"/>
        <v>0</v>
      </c>
      <c r="U21" s="154">
        <f t="shared" si="5"/>
        <v>0.97058823529411764</v>
      </c>
      <c r="V21" s="154">
        <f t="shared" si="5"/>
        <v>2.9411764705882353E-2</v>
      </c>
      <c r="W21" s="170">
        <f t="shared" si="6"/>
        <v>1</v>
      </c>
      <c r="X21" s="170"/>
    </row>
    <row r="22" spans="1:30">
      <c r="A22" s="39">
        <v>19</v>
      </c>
      <c r="B22" s="171" t="s">
        <v>247</v>
      </c>
      <c r="C22" s="118">
        <v>1</v>
      </c>
      <c r="D22" s="181"/>
      <c r="E22" s="17">
        <v>7</v>
      </c>
      <c r="F22" s="8">
        <v>7</v>
      </c>
      <c r="G22" s="8">
        <v>7</v>
      </c>
      <c r="H22" s="8">
        <v>6</v>
      </c>
      <c r="I22" s="8">
        <v>6</v>
      </c>
      <c r="J22" s="8">
        <v>7</v>
      </c>
      <c r="K22" s="8">
        <v>7</v>
      </c>
      <c r="L22" s="8">
        <v>7</v>
      </c>
      <c r="O22" s="144" t="s">
        <v>200</v>
      </c>
      <c r="P22" s="154">
        <f t="shared" si="5"/>
        <v>0</v>
      </c>
      <c r="Q22" s="154">
        <f t="shared" si="5"/>
        <v>0</v>
      </c>
      <c r="R22" s="154">
        <f t="shared" si="5"/>
        <v>0</v>
      </c>
      <c r="S22" s="154">
        <f t="shared" si="5"/>
        <v>0</v>
      </c>
      <c r="T22" s="154">
        <f t="shared" si="5"/>
        <v>0</v>
      </c>
      <c r="U22" s="154">
        <f t="shared" si="5"/>
        <v>0.91176470588235292</v>
      </c>
      <c r="V22" s="154">
        <f t="shared" si="5"/>
        <v>8.8235294117647065E-2</v>
      </c>
      <c r="W22" s="170">
        <f t="shared" si="6"/>
        <v>1</v>
      </c>
      <c r="X22" s="170"/>
    </row>
    <row r="23" spans="1:30">
      <c r="A23" s="39">
        <v>20</v>
      </c>
      <c r="B23" s="171" t="s">
        <v>72</v>
      </c>
      <c r="C23" s="118">
        <v>1</v>
      </c>
      <c r="D23" s="196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  <c r="O23" s="144" t="s">
        <v>201</v>
      </c>
      <c r="P23" s="154">
        <f t="shared" si="5"/>
        <v>0</v>
      </c>
      <c r="Q23" s="154">
        <f t="shared" si="5"/>
        <v>0</v>
      </c>
      <c r="R23" s="154">
        <f t="shared" si="5"/>
        <v>0</v>
      </c>
      <c r="S23" s="154">
        <f t="shared" si="5"/>
        <v>0</v>
      </c>
      <c r="T23" s="154">
        <f t="shared" si="5"/>
        <v>0</v>
      </c>
      <c r="U23" s="154">
        <f t="shared" si="5"/>
        <v>5.8823529411764705E-2</v>
      </c>
      <c r="V23" s="154">
        <f t="shared" si="5"/>
        <v>0.94117647058823528</v>
      </c>
      <c r="W23" s="170">
        <f t="shared" si="6"/>
        <v>1</v>
      </c>
      <c r="X23" s="170"/>
    </row>
    <row r="24" spans="1:30">
      <c r="A24" s="39">
        <v>21</v>
      </c>
      <c r="B24" s="171" t="s">
        <v>233</v>
      </c>
      <c r="C24" s="118">
        <v>1</v>
      </c>
      <c r="D24" s="196"/>
      <c r="E24" s="17">
        <v>7</v>
      </c>
      <c r="F24" s="8">
        <v>6</v>
      </c>
      <c r="G24" s="8">
        <v>6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  <c r="O24" s="144" t="s">
        <v>202</v>
      </c>
      <c r="P24" s="154">
        <f t="shared" si="5"/>
        <v>0</v>
      </c>
      <c r="Q24" s="154">
        <f t="shared" si="5"/>
        <v>0</v>
      </c>
      <c r="R24" s="154">
        <f t="shared" si="5"/>
        <v>0</v>
      </c>
      <c r="S24" s="154">
        <f t="shared" si="5"/>
        <v>0</v>
      </c>
      <c r="T24" s="154">
        <f t="shared" si="5"/>
        <v>0</v>
      </c>
      <c r="U24" s="154">
        <f t="shared" si="5"/>
        <v>8.8235294117647065E-2</v>
      </c>
      <c r="V24" s="154">
        <f t="shared" si="5"/>
        <v>0.91176470588235292</v>
      </c>
      <c r="W24" s="170">
        <f t="shared" si="6"/>
        <v>1</v>
      </c>
      <c r="X24" s="170"/>
    </row>
    <row r="25" spans="1:30">
      <c r="A25" s="39">
        <v>22</v>
      </c>
      <c r="B25" s="171" t="s">
        <v>33</v>
      </c>
      <c r="C25" s="118">
        <v>1</v>
      </c>
      <c r="D25" s="196"/>
      <c r="E25" s="17">
        <v>6</v>
      </c>
      <c r="F25" s="8">
        <v>7</v>
      </c>
      <c r="G25" s="8">
        <v>7</v>
      </c>
      <c r="H25" s="8">
        <v>6</v>
      </c>
      <c r="I25" s="8">
        <v>7</v>
      </c>
      <c r="J25" s="8">
        <v>7</v>
      </c>
      <c r="K25" s="8">
        <v>7</v>
      </c>
      <c r="L25" s="8">
        <v>6</v>
      </c>
      <c r="O25" s="144" t="s">
        <v>203</v>
      </c>
      <c r="P25" s="154">
        <f t="shared" si="5"/>
        <v>0</v>
      </c>
      <c r="Q25" s="154">
        <f t="shared" si="5"/>
        <v>0</v>
      </c>
      <c r="R25" s="154">
        <f t="shared" si="5"/>
        <v>0</v>
      </c>
      <c r="S25" s="154">
        <f t="shared" si="5"/>
        <v>0</v>
      </c>
      <c r="T25" s="154">
        <f t="shared" si="5"/>
        <v>0</v>
      </c>
      <c r="U25" s="154">
        <f t="shared" si="5"/>
        <v>0.6470588235294118</v>
      </c>
      <c r="V25" s="154">
        <f t="shared" si="5"/>
        <v>0.35294117647058826</v>
      </c>
      <c r="W25" s="170">
        <f t="shared" si="6"/>
        <v>1</v>
      </c>
      <c r="X25" s="170"/>
    </row>
    <row r="26" spans="1:30">
      <c r="A26" s="38">
        <v>23</v>
      </c>
      <c r="B26" s="171" t="s">
        <v>173</v>
      </c>
      <c r="C26" s="118">
        <v>1</v>
      </c>
      <c r="D26" s="196"/>
      <c r="E26" s="17">
        <v>7</v>
      </c>
      <c r="F26" s="8">
        <v>6</v>
      </c>
      <c r="G26" s="8">
        <v>7</v>
      </c>
      <c r="H26" s="8">
        <v>6</v>
      </c>
      <c r="I26" s="8">
        <v>6</v>
      </c>
      <c r="J26" s="8">
        <v>7</v>
      </c>
      <c r="K26" s="8">
        <v>6</v>
      </c>
      <c r="L26" s="8">
        <v>6</v>
      </c>
      <c r="O26" s="166"/>
      <c r="P26" s="166"/>
      <c r="Q26" s="169"/>
      <c r="R26" s="166"/>
      <c r="S26" s="166"/>
      <c r="T26" s="166"/>
      <c r="U26" s="166"/>
      <c r="V26" s="166"/>
      <c r="W26" s="139"/>
    </row>
    <row r="27" spans="1:30">
      <c r="A27" s="39">
        <v>24</v>
      </c>
      <c r="B27" s="171" t="s">
        <v>132</v>
      </c>
      <c r="C27" s="118">
        <v>1</v>
      </c>
      <c r="D27" s="196"/>
      <c r="E27" s="17">
        <v>6</v>
      </c>
      <c r="F27" s="8">
        <v>6</v>
      </c>
      <c r="G27" s="8">
        <v>6</v>
      </c>
      <c r="H27" s="8">
        <v>6</v>
      </c>
      <c r="I27" s="8">
        <v>6</v>
      </c>
      <c r="J27" s="8">
        <v>6</v>
      </c>
      <c r="K27" s="8">
        <v>7</v>
      </c>
      <c r="L27" s="8">
        <v>6</v>
      </c>
      <c r="P27" s="139"/>
      <c r="Q27" s="139"/>
      <c r="R27" s="139"/>
      <c r="S27" s="139"/>
      <c r="T27" s="139"/>
    </row>
    <row r="28" spans="1:30">
      <c r="A28" s="39">
        <v>25</v>
      </c>
      <c r="B28" s="171" t="s">
        <v>147</v>
      </c>
      <c r="C28" s="118">
        <v>1</v>
      </c>
      <c r="D28" s="196"/>
      <c r="E28" s="17">
        <v>6</v>
      </c>
      <c r="F28" s="8">
        <v>6</v>
      </c>
      <c r="G28" s="8">
        <v>7</v>
      </c>
      <c r="H28" s="8">
        <v>7</v>
      </c>
      <c r="I28" s="8">
        <v>7</v>
      </c>
      <c r="J28" s="8">
        <v>6</v>
      </c>
      <c r="K28" s="8">
        <v>6</v>
      </c>
      <c r="L28" s="8">
        <v>6</v>
      </c>
    </row>
    <row r="29" spans="1:30">
      <c r="A29" s="39">
        <v>26</v>
      </c>
      <c r="B29" s="171" t="s">
        <v>116</v>
      </c>
      <c r="C29" s="118">
        <v>1</v>
      </c>
      <c r="D29" s="181"/>
      <c r="E29" s="17">
        <v>7</v>
      </c>
      <c r="F29" s="8">
        <v>6</v>
      </c>
      <c r="G29" s="8">
        <v>6</v>
      </c>
      <c r="H29" s="8">
        <v>6</v>
      </c>
      <c r="I29" s="8">
        <v>6</v>
      </c>
      <c r="J29" s="8">
        <v>7</v>
      </c>
      <c r="K29" s="8">
        <v>7</v>
      </c>
      <c r="L29" s="8">
        <v>7</v>
      </c>
    </row>
    <row r="30" spans="1:30">
      <c r="A30" s="39">
        <v>27</v>
      </c>
      <c r="B30" s="171" t="s">
        <v>117</v>
      </c>
      <c r="C30" s="118"/>
      <c r="D30" s="180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P30" s="139"/>
      <c r="Q30" s="139"/>
      <c r="R30" s="139"/>
      <c r="S30" s="139"/>
      <c r="T30" s="139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39">
        <v>28</v>
      </c>
      <c r="B31" s="171" t="s">
        <v>191</v>
      </c>
      <c r="C31" s="118">
        <v>1</v>
      </c>
      <c r="D31" s="196"/>
      <c r="E31" s="17">
        <v>7</v>
      </c>
      <c r="F31" s="8">
        <v>7</v>
      </c>
      <c r="G31" s="8">
        <v>7</v>
      </c>
      <c r="H31" s="8">
        <v>6</v>
      </c>
      <c r="I31" s="8">
        <v>6</v>
      </c>
      <c r="J31" s="8">
        <v>7</v>
      </c>
      <c r="K31" s="8">
        <v>7</v>
      </c>
      <c r="L31" s="8">
        <v>7</v>
      </c>
      <c r="P31" s="139"/>
      <c r="Q31" s="139"/>
      <c r="R31" s="139"/>
      <c r="S31" s="139"/>
      <c r="T31" s="139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39">
        <v>29</v>
      </c>
      <c r="B32" s="171" t="s">
        <v>180</v>
      </c>
      <c r="C32" s="118">
        <v>1</v>
      </c>
      <c r="D32" s="181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  <c r="P32" s="139"/>
      <c r="Q32" s="139"/>
      <c r="R32" s="139"/>
      <c r="S32" s="139"/>
      <c r="T32" s="139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39">
        <v>30</v>
      </c>
      <c r="B33" s="171" t="s">
        <v>218</v>
      </c>
      <c r="C33" s="118">
        <v>1</v>
      </c>
      <c r="D33" s="181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P33" s="139"/>
      <c r="Q33" s="139"/>
      <c r="R33" s="139"/>
      <c r="S33" s="139"/>
      <c r="T33" s="139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39">
        <v>31</v>
      </c>
      <c r="B34" s="171" t="s">
        <v>148</v>
      </c>
      <c r="C34" s="118"/>
      <c r="D34" s="180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P34" s="139"/>
      <c r="Q34" s="139"/>
      <c r="R34" s="139"/>
      <c r="S34" s="139"/>
      <c r="T34" s="139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39">
        <v>32</v>
      </c>
      <c r="B35" s="171" t="s">
        <v>76</v>
      </c>
      <c r="C35" s="197">
        <v>1</v>
      </c>
      <c r="D35" s="196"/>
      <c r="E35" s="100">
        <v>6</v>
      </c>
      <c r="F35" s="92">
        <v>6</v>
      </c>
      <c r="G35" s="92">
        <v>7</v>
      </c>
      <c r="H35" s="92">
        <v>6</v>
      </c>
      <c r="I35" s="92">
        <v>6</v>
      </c>
      <c r="J35" s="92">
        <v>7</v>
      </c>
      <c r="K35" s="92">
        <v>7</v>
      </c>
      <c r="L35" s="92">
        <v>6</v>
      </c>
      <c r="P35" s="139"/>
      <c r="Q35" s="139"/>
      <c r="R35" s="139"/>
      <c r="S35" s="139"/>
      <c r="T35" s="139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38">
        <v>33</v>
      </c>
      <c r="B36" s="171" t="s">
        <v>38</v>
      </c>
      <c r="C36" s="118">
        <v>1</v>
      </c>
      <c r="D36" s="181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  <c r="P36" s="139"/>
      <c r="Q36" s="139"/>
      <c r="R36" s="139"/>
      <c r="S36" s="139"/>
      <c r="T36" s="139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39">
        <v>34</v>
      </c>
      <c r="B37" s="171" t="s">
        <v>77</v>
      </c>
      <c r="C37" s="118">
        <v>1</v>
      </c>
      <c r="D37" s="181"/>
      <c r="E37" s="17">
        <v>6</v>
      </c>
      <c r="F37" s="8">
        <v>6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6</v>
      </c>
      <c r="P37" s="139"/>
      <c r="Q37" s="139"/>
      <c r="R37" s="139"/>
      <c r="S37" s="139"/>
      <c r="T37" s="139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39">
        <v>35</v>
      </c>
      <c r="B38" s="171" t="s">
        <v>234</v>
      </c>
      <c r="C38" s="118"/>
      <c r="D38" s="180">
        <v>1</v>
      </c>
      <c r="E38" s="79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  <c r="P38" s="139"/>
      <c r="Q38" s="139"/>
      <c r="R38" s="139"/>
      <c r="S38" s="139"/>
      <c r="T38" s="139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39">
        <v>36</v>
      </c>
      <c r="B39" s="171" t="s">
        <v>183</v>
      </c>
      <c r="C39" s="118">
        <v>1</v>
      </c>
      <c r="D39" s="196"/>
      <c r="E39" s="100">
        <v>7</v>
      </c>
      <c r="F39" s="92">
        <v>7</v>
      </c>
      <c r="G39" s="92">
        <v>7</v>
      </c>
      <c r="H39" s="92">
        <v>6</v>
      </c>
      <c r="I39" s="92">
        <v>6</v>
      </c>
      <c r="J39" s="92">
        <v>7</v>
      </c>
      <c r="K39" s="92">
        <v>7</v>
      </c>
      <c r="L39" s="92">
        <v>7</v>
      </c>
      <c r="P39" s="139"/>
      <c r="Q39" s="139"/>
      <c r="R39" s="139"/>
      <c r="S39" s="139"/>
      <c r="T39" s="139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39">
        <v>37</v>
      </c>
      <c r="B40" s="171" t="s">
        <v>220</v>
      </c>
      <c r="C40" s="118">
        <v>1</v>
      </c>
      <c r="D40" s="181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9"/>
      <c r="Q40" s="139"/>
      <c r="R40" s="139"/>
      <c r="S40" s="139"/>
      <c r="T40" s="13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39">
        <v>38</v>
      </c>
      <c r="B41" s="171" t="s">
        <v>221</v>
      </c>
      <c r="C41" s="195"/>
      <c r="D41" s="180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P41" s="139"/>
      <c r="Q41" s="139"/>
      <c r="R41" s="139"/>
      <c r="S41" s="139"/>
      <c r="T41" s="139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39">
        <v>39</v>
      </c>
      <c r="B42" s="171" t="s">
        <v>120</v>
      </c>
      <c r="C42" s="118">
        <v>1</v>
      </c>
      <c r="D42" s="196"/>
      <c r="E42" s="17">
        <v>7</v>
      </c>
      <c r="F42" s="8">
        <v>7</v>
      </c>
      <c r="G42" s="8">
        <v>5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30">
      <c r="A43" s="39">
        <v>40</v>
      </c>
      <c r="B43" s="171" t="s">
        <v>241</v>
      </c>
      <c r="C43" s="118">
        <v>1</v>
      </c>
      <c r="D43" s="181"/>
      <c r="E43" s="17">
        <v>6</v>
      </c>
      <c r="F43" s="8">
        <v>6</v>
      </c>
      <c r="G43" s="8">
        <v>7</v>
      </c>
      <c r="H43" s="8">
        <v>6</v>
      </c>
      <c r="I43" s="8">
        <v>6</v>
      </c>
      <c r="J43" s="8">
        <v>7</v>
      </c>
      <c r="K43" s="8">
        <v>7</v>
      </c>
      <c r="L43" s="8">
        <v>6</v>
      </c>
    </row>
    <row r="44" spans="1:30">
      <c r="A44" s="39">
        <v>41</v>
      </c>
      <c r="B44" s="171" t="s">
        <v>137</v>
      </c>
      <c r="C44" s="118"/>
      <c r="D44" s="180">
        <v>1</v>
      </c>
      <c r="E44" s="79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</row>
    <row r="45" spans="1:30">
      <c r="A45" s="39">
        <v>42</v>
      </c>
      <c r="B45" s="171" t="s">
        <v>242</v>
      </c>
      <c r="C45" s="118">
        <v>1</v>
      </c>
      <c r="D45" s="181"/>
      <c r="E45" s="17">
        <v>6</v>
      </c>
      <c r="F45" s="8">
        <v>6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6</v>
      </c>
    </row>
    <row r="46" spans="1:30">
      <c r="A46" s="39">
        <v>43</v>
      </c>
      <c r="B46" s="171" t="s">
        <v>106</v>
      </c>
      <c r="C46" s="118"/>
      <c r="D46" s="180">
        <v>1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30">
      <c r="A47" s="39">
        <v>44</v>
      </c>
      <c r="B47" s="171" t="s">
        <v>107</v>
      </c>
      <c r="C47" s="118">
        <v>1</v>
      </c>
      <c r="D47" s="196"/>
      <c r="E47" s="17">
        <v>7</v>
      </c>
      <c r="F47" s="8">
        <v>6</v>
      </c>
      <c r="G47" s="8">
        <v>6</v>
      </c>
      <c r="H47" s="8">
        <v>6</v>
      </c>
      <c r="I47" s="8">
        <v>6</v>
      </c>
      <c r="J47" s="8">
        <v>7</v>
      </c>
      <c r="K47" s="8">
        <v>7</v>
      </c>
      <c r="L47" s="8">
        <v>7</v>
      </c>
    </row>
    <row r="48" spans="1:30">
      <c r="A48" s="39">
        <v>45</v>
      </c>
      <c r="B48" s="171" t="s">
        <v>185</v>
      </c>
      <c r="C48" s="118"/>
      <c r="D48" s="180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30">
      <c r="A49" s="39">
        <v>46</v>
      </c>
      <c r="B49" s="171" t="s">
        <v>243</v>
      </c>
      <c r="C49" s="118">
        <v>1</v>
      </c>
      <c r="D49" s="181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30">
      <c r="A50" s="39">
        <v>47</v>
      </c>
      <c r="B50" s="171" t="s">
        <v>248</v>
      </c>
      <c r="C50" s="118"/>
      <c r="D50" s="180">
        <v>1</v>
      </c>
      <c r="E50" s="79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</row>
    <row r="51" spans="1:30">
      <c r="A51" s="38">
        <v>48</v>
      </c>
      <c r="B51" s="171" t="s">
        <v>249</v>
      </c>
      <c r="C51" s="118">
        <v>1</v>
      </c>
      <c r="D51" s="181"/>
      <c r="E51" s="17">
        <v>6</v>
      </c>
      <c r="F51" s="8">
        <v>6</v>
      </c>
      <c r="G51" s="8">
        <v>7</v>
      </c>
      <c r="H51" s="8">
        <v>6</v>
      </c>
      <c r="I51" s="8">
        <v>6</v>
      </c>
      <c r="J51" s="8">
        <v>7</v>
      </c>
      <c r="K51" s="8">
        <v>7</v>
      </c>
      <c r="L51" s="8">
        <v>6</v>
      </c>
    </row>
    <row r="52" spans="1:30">
      <c r="A52" s="39">
        <v>49</v>
      </c>
      <c r="B52" s="171" t="s">
        <v>250</v>
      </c>
      <c r="C52" s="118"/>
      <c r="D52" s="180">
        <v>1</v>
      </c>
      <c r="E52" s="79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</row>
    <row r="53" spans="1:30">
      <c r="A53" s="39">
        <v>50</v>
      </c>
      <c r="B53" s="171" t="s">
        <v>251</v>
      </c>
      <c r="C53" s="118">
        <v>1</v>
      </c>
      <c r="D53" s="196"/>
      <c r="E53" s="17">
        <v>6</v>
      </c>
      <c r="F53" s="8">
        <v>6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6</v>
      </c>
    </row>
    <row r="54" spans="1:30">
      <c r="A54" s="30"/>
      <c r="B54" s="4"/>
      <c r="C54" s="4">
        <f>SUM(C4:C53)</f>
        <v>34</v>
      </c>
      <c r="D54" s="4">
        <f>SUM(D4:D53)</f>
        <v>16</v>
      </c>
      <c r="I54" s="1"/>
      <c r="J54" s="1"/>
      <c r="K54" s="139"/>
      <c r="L54" s="138"/>
      <c r="M54" s="138"/>
      <c r="N54" s="138"/>
      <c r="O54" s="167"/>
      <c r="P54" s="168"/>
      <c r="Q54" s="172"/>
      <c r="R54" s="168"/>
      <c r="S54" s="168"/>
      <c r="T54" s="168"/>
      <c r="U54" s="168"/>
      <c r="V54" s="168"/>
      <c r="W54" s="139"/>
    </row>
    <row r="55" spans="1:30">
      <c r="A55" s="29"/>
      <c r="B55" s="30"/>
      <c r="C55" s="45">
        <f>+C54/50</f>
        <v>0.68</v>
      </c>
      <c r="D55" s="45">
        <f>+D54/50</f>
        <v>0.32</v>
      </c>
      <c r="J55" s="1"/>
      <c r="K55" s="1"/>
      <c r="L55" s="139"/>
      <c r="M55" s="138"/>
      <c r="N55" s="173"/>
      <c r="O55" s="138"/>
      <c r="T55" s="139"/>
      <c r="U55" s="139"/>
      <c r="V55" s="139"/>
      <c r="W55" s="139"/>
      <c r="AA55" s="1"/>
      <c r="AB55" s="1"/>
      <c r="AC55" s="1"/>
      <c r="AD55" s="1"/>
    </row>
    <row r="56" spans="1:30">
      <c r="A56" s="29"/>
      <c r="B56" s="30"/>
      <c r="C56" s="29"/>
      <c r="O56" s="138"/>
      <c r="U56" s="139"/>
      <c r="V56" s="139"/>
      <c r="W56" s="139"/>
      <c r="AB56" s="1"/>
      <c r="AC56" s="1"/>
      <c r="AD56" s="1"/>
    </row>
    <row r="57" spans="1:30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30">
      <c r="A58" s="29"/>
      <c r="B58" s="30"/>
      <c r="C58" s="29"/>
      <c r="D58" s="68">
        <v>7</v>
      </c>
      <c r="E58" s="64">
        <v>14</v>
      </c>
      <c r="F58" s="64">
        <v>11</v>
      </c>
      <c r="G58" s="64">
        <v>28</v>
      </c>
      <c r="H58" s="64">
        <v>1</v>
      </c>
      <c r="I58" s="64">
        <v>3</v>
      </c>
      <c r="J58" s="64">
        <v>32</v>
      </c>
      <c r="K58" s="64">
        <v>31</v>
      </c>
      <c r="L58" s="65">
        <v>12</v>
      </c>
    </row>
    <row r="59" spans="1:30">
      <c r="A59" s="29"/>
      <c r="B59" s="30"/>
      <c r="C59" s="29"/>
      <c r="D59" s="69">
        <v>6</v>
      </c>
      <c r="E59" s="4">
        <v>20</v>
      </c>
      <c r="F59" s="4">
        <v>23</v>
      </c>
      <c r="G59" s="4">
        <v>5</v>
      </c>
      <c r="H59" s="4">
        <v>33</v>
      </c>
      <c r="I59" s="4">
        <v>31</v>
      </c>
      <c r="J59" s="4">
        <v>2</v>
      </c>
      <c r="K59" s="4">
        <v>3</v>
      </c>
      <c r="L59" s="66">
        <v>22</v>
      </c>
    </row>
    <row r="60" spans="1:30">
      <c r="A60" s="29"/>
      <c r="B60" s="30"/>
      <c r="C60" s="29"/>
      <c r="D60" s="69">
        <v>5</v>
      </c>
      <c r="G60" s="4">
        <v>1</v>
      </c>
      <c r="L60" s="66"/>
    </row>
    <row r="61" spans="1:30">
      <c r="A61" s="29"/>
      <c r="B61" s="30"/>
      <c r="C61" s="29"/>
      <c r="D61" s="69">
        <v>4</v>
      </c>
      <c r="L61" s="66"/>
    </row>
    <row r="62" spans="1:30">
      <c r="A62" s="29"/>
      <c r="C62" s="1"/>
      <c r="D62" s="69">
        <v>3</v>
      </c>
      <c r="L62" s="66"/>
    </row>
    <row r="63" spans="1:30">
      <c r="C63" s="1"/>
      <c r="D63" s="69">
        <v>2</v>
      </c>
      <c r="L63" s="66"/>
    </row>
    <row r="64" spans="1:30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 t="shared" ref="E65:L65" si="7">SUM(E58:E64)</f>
        <v>34</v>
      </c>
      <c r="F65" s="4">
        <f t="shared" si="7"/>
        <v>34</v>
      </c>
      <c r="G65" s="4">
        <f t="shared" si="7"/>
        <v>34</v>
      </c>
      <c r="H65" s="4">
        <f t="shared" si="7"/>
        <v>34</v>
      </c>
      <c r="I65" s="4">
        <f t="shared" si="7"/>
        <v>34</v>
      </c>
      <c r="J65" s="4">
        <f t="shared" si="7"/>
        <v>34</v>
      </c>
      <c r="K65" s="4">
        <f t="shared" si="7"/>
        <v>34</v>
      </c>
      <c r="L65" s="4">
        <f t="shared" si="7"/>
        <v>34</v>
      </c>
    </row>
    <row r="66" spans="1:14">
      <c r="C66" s="1"/>
      <c r="D66" s="1"/>
    </row>
    <row r="67" spans="1:14">
      <c r="D67" s="28" t="s">
        <v>59</v>
      </c>
      <c r="E67" s="4">
        <f>$C54*7</f>
        <v>238</v>
      </c>
      <c r="F67" s="4">
        <f t="shared" ref="F67:L67" si="8">$C54*7</f>
        <v>238</v>
      </c>
      <c r="G67" s="4">
        <f t="shared" si="8"/>
        <v>238</v>
      </c>
      <c r="H67" s="4">
        <f t="shared" si="8"/>
        <v>238</v>
      </c>
      <c r="I67" s="4">
        <f t="shared" si="8"/>
        <v>238</v>
      </c>
      <c r="J67" s="4">
        <f t="shared" si="8"/>
        <v>238</v>
      </c>
      <c r="K67" s="4">
        <f t="shared" si="8"/>
        <v>238</v>
      </c>
      <c r="L67" s="4">
        <f t="shared" si="8"/>
        <v>238</v>
      </c>
      <c r="M67" s="1">
        <f>SUM(E67:L67)</f>
        <v>1904</v>
      </c>
    </row>
    <row r="68" spans="1:14" ht="17" thickBot="1">
      <c r="D68" s="28" t="s">
        <v>60</v>
      </c>
      <c r="E68" s="4">
        <f t="shared" ref="E68:L68" si="9">SUM(E5:E53)</f>
        <v>218</v>
      </c>
      <c r="F68" s="4">
        <f t="shared" si="9"/>
        <v>214</v>
      </c>
      <c r="G68" s="4">
        <f t="shared" si="9"/>
        <v>231</v>
      </c>
      <c r="H68" s="4">
        <f t="shared" si="9"/>
        <v>205</v>
      </c>
      <c r="I68" s="4">
        <f t="shared" si="9"/>
        <v>207</v>
      </c>
      <c r="J68" s="4">
        <f t="shared" si="9"/>
        <v>236</v>
      </c>
      <c r="K68" s="4">
        <f t="shared" si="9"/>
        <v>236</v>
      </c>
      <c r="L68" s="4">
        <f t="shared" si="9"/>
        <v>216</v>
      </c>
      <c r="M68" s="1">
        <f>SUM(E68:L68)</f>
        <v>1763</v>
      </c>
    </row>
    <row r="69" spans="1:14" ht="22.5" customHeight="1" thickBot="1">
      <c r="E69" s="45">
        <f t="shared" ref="E69:M69" si="10">+E68/E67</f>
        <v>0.91596638655462181</v>
      </c>
      <c r="F69" s="45">
        <f t="shared" si="10"/>
        <v>0.89915966386554624</v>
      </c>
      <c r="G69" s="45">
        <f t="shared" si="10"/>
        <v>0.97058823529411764</v>
      </c>
      <c r="H69" s="45">
        <f t="shared" si="10"/>
        <v>0.8613445378151261</v>
      </c>
      <c r="I69" s="45">
        <f t="shared" si="10"/>
        <v>0.86974789915966388</v>
      </c>
      <c r="J69" s="45">
        <f t="shared" si="10"/>
        <v>0.99159663865546221</v>
      </c>
      <c r="K69" s="45">
        <f t="shared" si="10"/>
        <v>0.99159663865546221</v>
      </c>
      <c r="L69" s="45">
        <f t="shared" si="10"/>
        <v>0.90756302521008403</v>
      </c>
      <c r="M69" s="137">
        <f t="shared" si="10"/>
        <v>0.92594537815126055</v>
      </c>
    </row>
    <row r="70" spans="1:14" ht="29.25" customHeight="1" thickBot="1">
      <c r="E70" s="1"/>
      <c r="F70" s="1"/>
      <c r="G70" s="1"/>
      <c r="H70" s="1"/>
      <c r="I70" s="1"/>
      <c r="J70" s="1"/>
      <c r="K70" s="1"/>
      <c r="L70" s="1"/>
    </row>
    <row r="71" spans="1:14" ht="31.5" customHeight="1" thickBot="1">
      <c r="A71" s="190"/>
      <c r="B71" s="191" t="s">
        <v>63</v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3"/>
      <c r="N71" s="194"/>
    </row>
    <row r="72" spans="1:14" ht="31.5" customHeight="1">
      <c r="A72" s="182"/>
      <c r="B72" s="183" t="s">
        <v>252</v>
      </c>
      <c r="N72" s="184"/>
    </row>
    <row r="73" spans="1:14" ht="31.5" customHeight="1" thickBot="1">
      <c r="A73" s="182"/>
      <c r="B73" s="185" t="s">
        <v>253</v>
      </c>
      <c r="N73" s="184"/>
    </row>
    <row r="74" spans="1:14" ht="31.5" customHeight="1" thickBot="1">
      <c r="A74" s="182"/>
      <c r="B74" s="185" t="s">
        <v>236</v>
      </c>
      <c r="L74" s="202" t="s">
        <v>92</v>
      </c>
      <c r="M74" s="203"/>
      <c r="N74" s="184"/>
    </row>
    <row r="75" spans="1:14" ht="31.5" customHeight="1" thickBot="1">
      <c r="A75" s="186"/>
      <c r="B75" s="187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7"/>
      <c r="N75" s="189"/>
    </row>
  </sheetData>
  <mergeCells count="3">
    <mergeCell ref="P3:R3"/>
    <mergeCell ref="D57:L57"/>
    <mergeCell ref="L74:M74"/>
  </mergeCells>
  <phoneticPr fontId="1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6DBC-412F-4B43-BC95-BA2FACA91628}">
  <dimension ref="A1:AD75"/>
  <sheetViews>
    <sheetView view="pageBreakPreview" zoomScale="70" zoomScaleNormal="130" zoomScaleSheetLayoutView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XFD1048576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5" width="5.5" style="4" customWidth="1"/>
    <col min="6" max="9" width="5.83203125" style="4" customWidth="1"/>
    <col min="10" max="10" width="6.6640625" style="4" customWidth="1"/>
    <col min="11" max="11" width="6.1640625" style="4" customWidth="1"/>
    <col min="12" max="12" width="5.83203125" style="4" customWidth="1"/>
    <col min="13" max="13" width="6.1640625" style="1" customWidth="1"/>
    <col min="14" max="14" width="4.5" style="1" customWidth="1"/>
    <col min="15" max="15" width="36.6640625" style="139" customWidth="1"/>
    <col min="16" max="16" width="5.6640625" style="138" customWidth="1"/>
    <col min="17" max="17" width="5.83203125" style="138" customWidth="1"/>
    <col min="18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254</v>
      </c>
      <c r="O1" s="160" t="str">
        <f>+A1</f>
        <v>Customer Satisfaction Survey 2023 Check List ( By Telephone on 19 August 2022 )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71" t="s">
        <v>2</v>
      </c>
      <c r="C4" s="118"/>
      <c r="D4" s="180"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71" t="s">
        <v>125</v>
      </c>
      <c r="C5" s="118">
        <v>1</v>
      </c>
      <c r="D5" s="181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20</v>
      </c>
      <c r="V5" s="145">
        <f>+E58</f>
        <v>14</v>
      </c>
      <c r="W5" s="138">
        <f>SUM(P5:V5)</f>
        <v>34</v>
      </c>
      <c r="X5" s="138"/>
      <c r="Y5" s="139">
        <f t="shared" ref="Y5:Y12" si="0">+W5*7</f>
        <v>238</v>
      </c>
      <c r="AA5" s="139">
        <f t="shared" ref="AA5:AA12" si="1">+P5*P$4+Q5*Q$4+R5*R$4+S5*S$4+T5*T$4+U5*U$4+V5*V$4</f>
        <v>218</v>
      </c>
    </row>
    <row r="6" spans="1:30">
      <c r="A6" s="39">
        <v>3</v>
      </c>
      <c r="B6" s="171" t="s">
        <v>143</v>
      </c>
      <c r="C6" s="118">
        <v>1</v>
      </c>
      <c r="D6" s="181"/>
      <c r="E6" s="17">
        <v>7</v>
      </c>
      <c r="F6" s="8">
        <v>7</v>
      </c>
      <c r="G6" s="8">
        <v>7</v>
      </c>
      <c r="H6" s="8">
        <v>6</v>
      </c>
      <c r="I6" s="8">
        <v>6</v>
      </c>
      <c r="J6" s="8">
        <v>7</v>
      </c>
      <c r="K6" s="8">
        <v>7</v>
      </c>
      <c r="L6" s="8">
        <v>7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23</v>
      </c>
      <c r="V6" s="145">
        <f>+F58</f>
        <v>11</v>
      </c>
      <c r="W6" s="138">
        <f t="shared" ref="W6:W12" si="2">SUM(P6:V6)</f>
        <v>34</v>
      </c>
      <c r="X6" s="138"/>
      <c r="Y6" s="139">
        <f t="shared" si="0"/>
        <v>238</v>
      </c>
      <c r="AA6" s="139">
        <f t="shared" si="1"/>
        <v>215</v>
      </c>
    </row>
    <row r="7" spans="1:30">
      <c r="A7" s="38">
        <v>4</v>
      </c>
      <c r="B7" s="171" t="s">
        <v>162</v>
      </c>
      <c r="C7" s="118">
        <v>1</v>
      </c>
      <c r="D7" s="181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1</v>
      </c>
      <c r="U7" s="145">
        <f>+G59</f>
        <v>5</v>
      </c>
      <c r="V7" s="145">
        <f>+G58</f>
        <v>28</v>
      </c>
      <c r="W7" s="138">
        <f t="shared" si="2"/>
        <v>34</v>
      </c>
      <c r="X7" s="138"/>
      <c r="Y7" s="139">
        <f t="shared" si="0"/>
        <v>238</v>
      </c>
      <c r="AA7" s="139">
        <f t="shared" si="1"/>
        <v>231</v>
      </c>
    </row>
    <row r="8" spans="1:30">
      <c r="A8" s="39">
        <v>5</v>
      </c>
      <c r="B8" s="171" t="s">
        <v>14</v>
      </c>
      <c r="C8" s="118">
        <v>1</v>
      </c>
      <c r="D8" s="181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33</v>
      </c>
      <c r="V8" s="145">
        <f>+H58</f>
        <v>1</v>
      </c>
      <c r="W8" s="138">
        <f t="shared" si="2"/>
        <v>34</v>
      </c>
      <c r="X8" s="138"/>
      <c r="Y8" s="139">
        <f t="shared" si="0"/>
        <v>238</v>
      </c>
      <c r="AA8" s="139">
        <f t="shared" si="1"/>
        <v>205</v>
      </c>
    </row>
    <row r="9" spans="1:30">
      <c r="A9" s="38">
        <v>6</v>
      </c>
      <c r="B9" s="171" t="s">
        <v>96</v>
      </c>
      <c r="C9" s="118"/>
      <c r="D9" s="180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31</v>
      </c>
      <c r="V9" s="145">
        <f>+I58</f>
        <v>3</v>
      </c>
      <c r="W9" s="138">
        <f t="shared" si="2"/>
        <v>34</v>
      </c>
      <c r="X9" s="138"/>
      <c r="Y9" s="139">
        <f t="shared" si="0"/>
        <v>238</v>
      </c>
      <c r="AA9" s="139">
        <f t="shared" si="1"/>
        <v>207</v>
      </c>
    </row>
    <row r="10" spans="1:30">
      <c r="A10" s="39">
        <v>7</v>
      </c>
      <c r="B10" s="171" t="s">
        <v>190</v>
      </c>
      <c r="C10" s="118"/>
      <c r="D10" s="180">
        <v>1</v>
      </c>
      <c r="E10" s="79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2</v>
      </c>
      <c r="V10" s="145">
        <f>+J58</f>
        <v>32</v>
      </c>
      <c r="W10" s="138">
        <f t="shared" si="2"/>
        <v>34</v>
      </c>
      <c r="X10" s="138"/>
      <c r="Y10" s="139">
        <f t="shared" si="0"/>
        <v>238</v>
      </c>
      <c r="AA10" s="139">
        <f t="shared" si="1"/>
        <v>236</v>
      </c>
    </row>
    <row r="11" spans="1:30">
      <c r="A11" s="39">
        <v>8</v>
      </c>
      <c r="B11" s="171" t="s">
        <v>165</v>
      </c>
      <c r="C11" s="118">
        <v>1</v>
      </c>
      <c r="D11" s="181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3</v>
      </c>
      <c r="V11" s="145">
        <f>+K58</f>
        <v>31</v>
      </c>
      <c r="W11" s="138">
        <f t="shared" si="2"/>
        <v>34</v>
      </c>
      <c r="X11" s="138"/>
      <c r="Y11" s="139">
        <f t="shared" si="0"/>
        <v>238</v>
      </c>
      <c r="AA11" s="139">
        <f t="shared" si="1"/>
        <v>235</v>
      </c>
    </row>
    <row r="12" spans="1:30">
      <c r="A12" s="39">
        <v>9</v>
      </c>
      <c r="B12" s="171" t="s">
        <v>100</v>
      </c>
      <c r="C12" s="118">
        <v>1</v>
      </c>
      <c r="D12" s="196"/>
      <c r="E12" s="17">
        <v>6</v>
      </c>
      <c r="F12" s="8">
        <v>6</v>
      </c>
      <c r="G12" s="8">
        <v>7</v>
      </c>
      <c r="H12" s="8">
        <v>6</v>
      </c>
      <c r="I12" s="8">
        <v>6</v>
      </c>
      <c r="J12" s="8">
        <v>7</v>
      </c>
      <c r="K12" s="8">
        <v>7</v>
      </c>
      <c r="L12" s="8">
        <v>6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22</v>
      </c>
      <c r="V12" s="145">
        <f>+L58</f>
        <v>12</v>
      </c>
      <c r="W12" s="138">
        <f t="shared" si="2"/>
        <v>34</v>
      </c>
      <c r="X12" s="138"/>
      <c r="Y12" s="139">
        <f t="shared" si="0"/>
        <v>238</v>
      </c>
      <c r="AA12" s="139">
        <f t="shared" si="1"/>
        <v>216</v>
      </c>
    </row>
    <row r="13" spans="1:30" ht="17" thickBot="1">
      <c r="A13" s="38">
        <v>10</v>
      </c>
      <c r="B13" s="171" t="s">
        <v>22</v>
      </c>
      <c r="C13" s="118">
        <v>1</v>
      </c>
      <c r="D13" s="181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  <c r="O13" s="146" t="s">
        <v>204</v>
      </c>
      <c r="P13" s="138">
        <f>SUM(P5:P12)</f>
        <v>0</v>
      </c>
      <c r="Q13" s="138">
        <f t="shared" ref="Q13:V13" si="3">SUM(Q5:Q12)</f>
        <v>0</v>
      </c>
      <c r="R13" s="138">
        <f t="shared" si="3"/>
        <v>0</v>
      </c>
      <c r="S13" s="138">
        <f t="shared" si="3"/>
        <v>0</v>
      </c>
      <c r="T13" s="138">
        <f t="shared" si="3"/>
        <v>1</v>
      </c>
      <c r="U13" s="138">
        <f t="shared" si="3"/>
        <v>139</v>
      </c>
      <c r="V13" s="138">
        <f t="shared" si="3"/>
        <v>132</v>
      </c>
      <c r="W13" s="147">
        <f>SUM(W5:W12)</f>
        <v>272</v>
      </c>
      <c r="X13" s="138"/>
      <c r="Y13" s="148">
        <f>SUM(Y5:Y12)</f>
        <v>1904</v>
      </c>
      <c r="AA13" s="148">
        <f>SUM(AA5:AA12)</f>
        <v>1763</v>
      </c>
    </row>
    <row r="14" spans="1:30" ht="17" thickTop="1">
      <c r="A14" s="38">
        <v>11</v>
      </c>
      <c r="B14" s="171" t="s">
        <v>167</v>
      </c>
      <c r="C14" s="118"/>
      <c r="D14" s="180">
        <v>1</v>
      </c>
      <c r="E14" s="79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</row>
    <row r="15" spans="1:30">
      <c r="A15" s="39">
        <v>12</v>
      </c>
      <c r="B15" s="171" t="s">
        <v>24</v>
      </c>
      <c r="C15" s="118">
        <v>1</v>
      </c>
      <c r="D15" s="181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4">+P13/$W$13</f>
        <v>0</v>
      </c>
      <c r="Q15" s="162">
        <f t="shared" si="4"/>
        <v>0</v>
      </c>
      <c r="R15" s="162">
        <f t="shared" si="4"/>
        <v>0</v>
      </c>
      <c r="S15" s="162">
        <f t="shared" si="4"/>
        <v>0</v>
      </c>
      <c r="T15" s="162">
        <f t="shared" si="4"/>
        <v>3.6764705882352941E-3</v>
      </c>
      <c r="U15" s="162">
        <f t="shared" si="4"/>
        <v>0.51102941176470584</v>
      </c>
      <c r="V15" s="162">
        <f t="shared" si="4"/>
        <v>0.48529411764705882</v>
      </c>
      <c r="W15" s="149">
        <f t="shared" si="4"/>
        <v>1</v>
      </c>
      <c r="X15"/>
      <c r="Y15" s="150"/>
      <c r="Z15" s="151" t="s">
        <v>205</v>
      </c>
      <c r="AA15" s="152">
        <f>+AA13/Y13*100</f>
        <v>92.59453781512606</v>
      </c>
      <c r="AB15"/>
      <c r="AC15"/>
      <c r="AD15"/>
    </row>
    <row r="16" spans="1:30">
      <c r="A16" s="38">
        <v>13</v>
      </c>
      <c r="B16" s="171" t="s">
        <v>25</v>
      </c>
      <c r="C16" s="118">
        <v>1</v>
      </c>
      <c r="D16" s="181"/>
      <c r="E16" s="17">
        <v>6</v>
      </c>
      <c r="F16" s="8">
        <v>6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6</v>
      </c>
    </row>
    <row r="17" spans="1:30">
      <c r="A17" s="38">
        <v>14</v>
      </c>
      <c r="B17" s="171" t="s">
        <v>113</v>
      </c>
      <c r="C17" s="118"/>
      <c r="D17" s="180">
        <v>1</v>
      </c>
      <c r="E17" s="79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30">
      <c r="A18" s="39">
        <v>15</v>
      </c>
      <c r="B18" s="171" t="s">
        <v>170</v>
      </c>
      <c r="C18" s="118"/>
      <c r="D18" s="180">
        <v>1</v>
      </c>
      <c r="E18" s="79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O18" s="144" t="s">
        <v>196</v>
      </c>
      <c r="P18" s="154">
        <f t="shared" ref="P18:V25" si="5">+P5/$W5</f>
        <v>0</v>
      </c>
      <c r="Q18" s="154">
        <f t="shared" si="5"/>
        <v>0</v>
      </c>
      <c r="R18" s="154">
        <f t="shared" si="5"/>
        <v>0</v>
      </c>
      <c r="S18" s="154">
        <f t="shared" si="5"/>
        <v>0</v>
      </c>
      <c r="T18" s="154">
        <f t="shared" si="5"/>
        <v>0</v>
      </c>
      <c r="U18" s="154">
        <f t="shared" si="5"/>
        <v>0.58823529411764708</v>
      </c>
      <c r="V18" s="154">
        <f t="shared" si="5"/>
        <v>0.41176470588235292</v>
      </c>
      <c r="W18" s="170">
        <f>SUM(P18:V18)</f>
        <v>1</v>
      </c>
    </row>
    <row r="19" spans="1:30">
      <c r="A19" s="39">
        <v>16</v>
      </c>
      <c r="B19" s="171" t="s">
        <v>114</v>
      </c>
      <c r="C19" s="118">
        <v>1</v>
      </c>
      <c r="D19" s="196"/>
      <c r="E19" s="17">
        <v>7</v>
      </c>
      <c r="F19" s="8">
        <v>7</v>
      </c>
      <c r="G19" s="8">
        <v>7</v>
      </c>
      <c r="H19" s="8">
        <v>6</v>
      </c>
      <c r="I19" s="8">
        <v>6</v>
      </c>
      <c r="J19" s="8">
        <v>7</v>
      </c>
      <c r="K19" s="8">
        <v>7</v>
      </c>
      <c r="L19" s="8">
        <v>7</v>
      </c>
      <c r="O19" s="144" t="s">
        <v>196</v>
      </c>
      <c r="P19" s="154">
        <f t="shared" si="5"/>
        <v>0</v>
      </c>
      <c r="Q19" s="154">
        <f t="shared" si="5"/>
        <v>0</v>
      </c>
      <c r="R19" s="154">
        <f t="shared" si="5"/>
        <v>0</v>
      </c>
      <c r="S19" s="154">
        <f t="shared" si="5"/>
        <v>0</v>
      </c>
      <c r="T19" s="154">
        <f t="shared" si="5"/>
        <v>0</v>
      </c>
      <c r="U19" s="154">
        <f t="shared" si="5"/>
        <v>0.67647058823529416</v>
      </c>
      <c r="V19" s="154">
        <f t="shared" si="5"/>
        <v>0.3235294117647059</v>
      </c>
      <c r="W19" s="170">
        <f t="shared" ref="W19:W25" si="6">SUM(P19:V19)</f>
        <v>1</v>
      </c>
      <c r="X19" s="170"/>
    </row>
    <row r="20" spans="1:30">
      <c r="A20" s="39">
        <v>17</v>
      </c>
      <c r="B20" s="171" t="s">
        <v>232</v>
      </c>
      <c r="C20" s="118">
        <v>1</v>
      </c>
      <c r="D20" s="181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si="5"/>
        <v>0</v>
      </c>
      <c r="Q20" s="154">
        <f t="shared" si="5"/>
        <v>0</v>
      </c>
      <c r="R20" s="154">
        <f t="shared" si="5"/>
        <v>0</v>
      </c>
      <c r="S20" s="154">
        <f t="shared" si="5"/>
        <v>0</v>
      </c>
      <c r="T20" s="154">
        <f t="shared" si="5"/>
        <v>2.9411764705882353E-2</v>
      </c>
      <c r="U20" s="154">
        <f t="shared" si="5"/>
        <v>0.14705882352941177</v>
      </c>
      <c r="V20" s="154">
        <f t="shared" si="5"/>
        <v>0.82352941176470584</v>
      </c>
      <c r="W20" s="170">
        <f t="shared" si="6"/>
        <v>1</v>
      </c>
      <c r="X20" s="170"/>
    </row>
    <row r="21" spans="1:30">
      <c r="A21" s="39">
        <v>18</v>
      </c>
      <c r="B21" s="171" t="s">
        <v>246</v>
      </c>
      <c r="C21" s="118"/>
      <c r="D21" s="180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O21" s="144" t="s">
        <v>199</v>
      </c>
      <c r="P21" s="154">
        <f t="shared" si="5"/>
        <v>0</v>
      </c>
      <c r="Q21" s="154">
        <f t="shared" si="5"/>
        <v>0</v>
      </c>
      <c r="R21" s="154">
        <f t="shared" si="5"/>
        <v>0</v>
      </c>
      <c r="S21" s="154">
        <f t="shared" si="5"/>
        <v>0</v>
      </c>
      <c r="T21" s="154">
        <f t="shared" si="5"/>
        <v>0</v>
      </c>
      <c r="U21" s="154">
        <f t="shared" si="5"/>
        <v>0.97058823529411764</v>
      </c>
      <c r="V21" s="154">
        <f t="shared" si="5"/>
        <v>2.9411764705882353E-2</v>
      </c>
      <c r="W21" s="170">
        <f t="shared" si="6"/>
        <v>1</v>
      </c>
      <c r="X21" s="170"/>
    </row>
    <row r="22" spans="1:30">
      <c r="A22" s="39">
        <v>19</v>
      </c>
      <c r="B22" s="171" t="s">
        <v>247</v>
      </c>
      <c r="C22" s="118">
        <v>1</v>
      </c>
      <c r="D22" s="181"/>
      <c r="E22" s="17">
        <v>7</v>
      </c>
      <c r="F22" s="8">
        <v>7</v>
      </c>
      <c r="G22" s="8">
        <v>7</v>
      </c>
      <c r="H22" s="8">
        <v>6</v>
      </c>
      <c r="I22" s="8">
        <v>6</v>
      </c>
      <c r="J22" s="8">
        <v>7</v>
      </c>
      <c r="K22" s="8">
        <v>7</v>
      </c>
      <c r="L22" s="8">
        <v>7</v>
      </c>
      <c r="O22" s="144" t="s">
        <v>200</v>
      </c>
      <c r="P22" s="154">
        <f t="shared" si="5"/>
        <v>0</v>
      </c>
      <c r="Q22" s="154">
        <f t="shared" si="5"/>
        <v>0</v>
      </c>
      <c r="R22" s="154">
        <f t="shared" si="5"/>
        <v>0</v>
      </c>
      <c r="S22" s="154">
        <f t="shared" si="5"/>
        <v>0</v>
      </c>
      <c r="T22" s="154">
        <f t="shared" si="5"/>
        <v>0</v>
      </c>
      <c r="U22" s="154">
        <f t="shared" si="5"/>
        <v>0.91176470588235292</v>
      </c>
      <c r="V22" s="154">
        <f t="shared" si="5"/>
        <v>8.8235294117647065E-2</v>
      </c>
      <c r="W22" s="170">
        <f t="shared" si="6"/>
        <v>1</v>
      </c>
      <c r="X22" s="170"/>
    </row>
    <row r="23" spans="1:30">
      <c r="A23" s="39">
        <v>20</v>
      </c>
      <c r="B23" s="171" t="s">
        <v>72</v>
      </c>
      <c r="C23" s="118">
        <v>1</v>
      </c>
      <c r="D23" s="196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  <c r="O23" s="144" t="s">
        <v>201</v>
      </c>
      <c r="P23" s="154">
        <f t="shared" si="5"/>
        <v>0</v>
      </c>
      <c r="Q23" s="154">
        <f t="shared" si="5"/>
        <v>0</v>
      </c>
      <c r="R23" s="154">
        <f t="shared" si="5"/>
        <v>0</v>
      </c>
      <c r="S23" s="154">
        <f t="shared" si="5"/>
        <v>0</v>
      </c>
      <c r="T23" s="154">
        <f t="shared" si="5"/>
        <v>0</v>
      </c>
      <c r="U23" s="154">
        <f t="shared" si="5"/>
        <v>5.8823529411764705E-2</v>
      </c>
      <c r="V23" s="154">
        <f t="shared" si="5"/>
        <v>0.94117647058823528</v>
      </c>
      <c r="W23" s="170">
        <f t="shared" si="6"/>
        <v>1</v>
      </c>
      <c r="X23" s="170"/>
    </row>
    <row r="24" spans="1:30">
      <c r="A24" s="39">
        <v>21</v>
      </c>
      <c r="B24" s="171" t="s">
        <v>233</v>
      </c>
      <c r="C24" s="118">
        <v>1</v>
      </c>
      <c r="D24" s="196"/>
      <c r="E24" s="17">
        <v>7</v>
      </c>
      <c r="F24" s="8">
        <v>6</v>
      </c>
      <c r="G24" s="8">
        <v>6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  <c r="O24" s="144" t="s">
        <v>202</v>
      </c>
      <c r="P24" s="154">
        <f t="shared" si="5"/>
        <v>0</v>
      </c>
      <c r="Q24" s="154">
        <f t="shared" si="5"/>
        <v>0</v>
      </c>
      <c r="R24" s="154">
        <f t="shared" si="5"/>
        <v>0</v>
      </c>
      <c r="S24" s="154">
        <f t="shared" si="5"/>
        <v>0</v>
      </c>
      <c r="T24" s="154">
        <f t="shared" si="5"/>
        <v>0</v>
      </c>
      <c r="U24" s="154">
        <f t="shared" si="5"/>
        <v>8.8235294117647065E-2</v>
      </c>
      <c r="V24" s="154">
        <f t="shared" si="5"/>
        <v>0.91176470588235292</v>
      </c>
      <c r="W24" s="170">
        <f t="shared" si="6"/>
        <v>1</v>
      </c>
      <c r="X24" s="170"/>
    </row>
    <row r="25" spans="1:30">
      <c r="A25" s="39">
        <v>22</v>
      </c>
      <c r="B25" s="171" t="s">
        <v>33</v>
      </c>
      <c r="C25" s="118">
        <v>1</v>
      </c>
      <c r="D25" s="196"/>
      <c r="E25" s="17">
        <v>6</v>
      </c>
      <c r="F25" s="8">
        <v>7</v>
      </c>
      <c r="G25" s="8">
        <v>7</v>
      </c>
      <c r="H25" s="8">
        <v>6</v>
      </c>
      <c r="I25" s="8">
        <v>7</v>
      </c>
      <c r="J25" s="8">
        <v>7</v>
      </c>
      <c r="K25" s="8">
        <v>7</v>
      </c>
      <c r="L25" s="8">
        <v>6</v>
      </c>
      <c r="O25" s="144" t="s">
        <v>203</v>
      </c>
      <c r="P25" s="154">
        <f t="shared" si="5"/>
        <v>0</v>
      </c>
      <c r="Q25" s="154">
        <f t="shared" si="5"/>
        <v>0</v>
      </c>
      <c r="R25" s="154">
        <f t="shared" si="5"/>
        <v>0</v>
      </c>
      <c r="S25" s="154">
        <f t="shared" si="5"/>
        <v>0</v>
      </c>
      <c r="T25" s="154">
        <f t="shared" si="5"/>
        <v>0</v>
      </c>
      <c r="U25" s="154">
        <f t="shared" si="5"/>
        <v>0.6470588235294118</v>
      </c>
      <c r="V25" s="154">
        <f t="shared" si="5"/>
        <v>0.35294117647058826</v>
      </c>
      <c r="W25" s="170">
        <f t="shared" si="6"/>
        <v>1</v>
      </c>
      <c r="X25" s="170"/>
    </row>
    <row r="26" spans="1:30">
      <c r="A26" s="38">
        <v>23</v>
      </c>
      <c r="B26" s="171" t="s">
        <v>173</v>
      </c>
      <c r="C26" s="118">
        <v>1</v>
      </c>
      <c r="D26" s="196"/>
      <c r="E26" s="17">
        <v>7</v>
      </c>
      <c r="F26" s="8">
        <v>6</v>
      </c>
      <c r="G26" s="8">
        <v>7</v>
      </c>
      <c r="H26" s="8">
        <v>6</v>
      </c>
      <c r="I26" s="8">
        <v>6</v>
      </c>
      <c r="J26" s="8">
        <v>7</v>
      </c>
      <c r="K26" s="8">
        <v>6</v>
      </c>
      <c r="L26" s="8">
        <v>6</v>
      </c>
      <c r="O26" s="166"/>
      <c r="P26" s="166"/>
      <c r="Q26" s="169"/>
      <c r="R26" s="166"/>
      <c r="S26" s="166"/>
      <c r="T26" s="166"/>
      <c r="U26" s="166"/>
      <c r="V26" s="166"/>
      <c r="W26" s="139"/>
    </row>
    <row r="27" spans="1:30">
      <c r="A27" s="39">
        <v>24</v>
      </c>
      <c r="B27" s="171" t="s">
        <v>132</v>
      </c>
      <c r="C27" s="118">
        <v>1</v>
      </c>
      <c r="D27" s="196"/>
      <c r="E27" s="17">
        <v>6</v>
      </c>
      <c r="F27" s="8">
        <v>6</v>
      </c>
      <c r="G27" s="8">
        <v>6</v>
      </c>
      <c r="H27" s="8">
        <v>6</v>
      </c>
      <c r="I27" s="8">
        <v>6</v>
      </c>
      <c r="J27" s="8">
        <v>6</v>
      </c>
      <c r="K27" s="8">
        <v>7</v>
      </c>
      <c r="L27" s="8">
        <v>6</v>
      </c>
      <c r="P27" s="139"/>
      <c r="Q27" s="139"/>
      <c r="R27" s="139"/>
      <c r="S27" s="139"/>
      <c r="T27" s="139"/>
    </row>
    <row r="28" spans="1:30">
      <c r="A28" s="39">
        <v>25</v>
      </c>
      <c r="B28" s="171" t="s">
        <v>147</v>
      </c>
      <c r="C28" s="118">
        <v>1</v>
      </c>
      <c r="D28" s="196"/>
      <c r="E28" s="17">
        <v>6</v>
      </c>
      <c r="F28" s="8">
        <v>6</v>
      </c>
      <c r="G28" s="8">
        <v>7</v>
      </c>
      <c r="H28" s="8">
        <v>7</v>
      </c>
      <c r="I28" s="8">
        <v>7</v>
      </c>
      <c r="J28" s="8">
        <v>6</v>
      </c>
      <c r="K28" s="8">
        <v>6</v>
      </c>
      <c r="L28" s="8">
        <v>6</v>
      </c>
    </row>
    <row r="29" spans="1:30">
      <c r="A29" s="39">
        <v>26</v>
      </c>
      <c r="B29" s="171" t="s">
        <v>116</v>
      </c>
      <c r="C29" s="118">
        <v>1</v>
      </c>
      <c r="D29" s="181"/>
      <c r="E29" s="17">
        <v>7</v>
      </c>
      <c r="F29" s="8">
        <v>6</v>
      </c>
      <c r="G29" s="8">
        <v>6</v>
      </c>
      <c r="H29" s="8">
        <v>6</v>
      </c>
      <c r="I29" s="8">
        <v>6</v>
      </c>
      <c r="J29" s="8">
        <v>7</v>
      </c>
      <c r="K29" s="8">
        <v>7</v>
      </c>
      <c r="L29" s="8">
        <v>7</v>
      </c>
    </row>
    <row r="30" spans="1:30">
      <c r="A30" s="39">
        <v>27</v>
      </c>
      <c r="B30" s="171" t="s">
        <v>117</v>
      </c>
      <c r="C30" s="118"/>
      <c r="D30" s="180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P30" s="139"/>
      <c r="Q30" s="139"/>
      <c r="R30" s="139"/>
      <c r="S30" s="139"/>
      <c r="T30" s="139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39">
        <v>28</v>
      </c>
      <c r="B31" s="171" t="s">
        <v>191</v>
      </c>
      <c r="C31" s="118">
        <v>1</v>
      </c>
      <c r="D31" s="196"/>
      <c r="E31" s="17">
        <v>7</v>
      </c>
      <c r="F31" s="8">
        <v>7</v>
      </c>
      <c r="G31" s="8">
        <v>7</v>
      </c>
      <c r="H31" s="8">
        <v>6</v>
      </c>
      <c r="I31" s="8">
        <v>6</v>
      </c>
      <c r="J31" s="8">
        <v>7</v>
      </c>
      <c r="K31" s="8">
        <v>7</v>
      </c>
      <c r="L31" s="8">
        <v>7</v>
      </c>
      <c r="P31" s="139"/>
      <c r="Q31" s="139"/>
      <c r="R31" s="139"/>
      <c r="S31" s="139"/>
      <c r="T31" s="139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39">
        <v>29</v>
      </c>
      <c r="B32" s="171" t="s">
        <v>180</v>
      </c>
      <c r="C32" s="118">
        <v>1</v>
      </c>
      <c r="D32" s="181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  <c r="P32" s="139"/>
      <c r="Q32" s="139"/>
      <c r="R32" s="139"/>
      <c r="S32" s="139"/>
      <c r="T32" s="139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39">
        <v>30</v>
      </c>
      <c r="B33" s="171" t="s">
        <v>218</v>
      </c>
      <c r="C33" s="118">
        <v>1</v>
      </c>
      <c r="D33" s="181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P33" s="139"/>
      <c r="Q33" s="139"/>
      <c r="R33" s="139"/>
      <c r="S33" s="139"/>
      <c r="T33" s="139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39">
        <v>31</v>
      </c>
      <c r="B34" s="171" t="s">
        <v>148</v>
      </c>
      <c r="C34" s="118"/>
      <c r="D34" s="180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P34" s="139"/>
      <c r="Q34" s="139"/>
      <c r="R34" s="139"/>
      <c r="S34" s="139"/>
      <c r="T34" s="139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39">
        <v>32</v>
      </c>
      <c r="B35" s="171" t="s">
        <v>76</v>
      </c>
      <c r="C35" s="197">
        <v>1</v>
      </c>
      <c r="D35" s="196"/>
      <c r="E35" s="100">
        <v>6</v>
      </c>
      <c r="F35" s="92">
        <v>6</v>
      </c>
      <c r="G35" s="92">
        <v>7</v>
      </c>
      <c r="H35" s="92">
        <v>6</v>
      </c>
      <c r="I35" s="92">
        <v>6</v>
      </c>
      <c r="J35" s="92">
        <v>7</v>
      </c>
      <c r="K35" s="92">
        <v>7</v>
      </c>
      <c r="L35" s="92">
        <v>6</v>
      </c>
      <c r="P35" s="139"/>
      <c r="Q35" s="139"/>
      <c r="R35" s="139"/>
      <c r="S35" s="139"/>
      <c r="T35" s="139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38">
        <v>33</v>
      </c>
      <c r="B36" s="171" t="s">
        <v>38</v>
      </c>
      <c r="C36" s="118">
        <v>1</v>
      </c>
      <c r="D36" s="181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  <c r="P36" s="139"/>
      <c r="Q36" s="139"/>
      <c r="R36" s="139"/>
      <c r="S36" s="139"/>
      <c r="T36" s="139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39">
        <v>34</v>
      </c>
      <c r="B37" s="171" t="s">
        <v>77</v>
      </c>
      <c r="C37" s="118">
        <v>1</v>
      </c>
      <c r="D37" s="181"/>
      <c r="E37" s="17">
        <v>6</v>
      </c>
      <c r="F37" s="8">
        <v>6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6</v>
      </c>
      <c r="P37" s="139"/>
      <c r="Q37" s="139"/>
      <c r="R37" s="139"/>
      <c r="S37" s="139"/>
      <c r="T37" s="139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39">
        <v>35</v>
      </c>
      <c r="B38" s="171" t="s">
        <v>234</v>
      </c>
      <c r="C38" s="118"/>
      <c r="D38" s="180">
        <v>1</v>
      </c>
      <c r="E38" s="79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  <c r="P38" s="139"/>
      <c r="Q38" s="139"/>
      <c r="R38" s="139"/>
      <c r="S38" s="139"/>
      <c r="T38" s="139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39">
        <v>36</v>
      </c>
      <c r="B39" s="171" t="s">
        <v>183</v>
      </c>
      <c r="C39" s="118">
        <v>1</v>
      </c>
      <c r="D39" s="196"/>
      <c r="E39" s="100">
        <v>7</v>
      </c>
      <c r="F39" s="92">
        <v>7</v>
      </c>
      <c r="G39" s="92">
        <v>7</v>
      </c>
      <c r="H39" s="92">
        <v>6</v>
      </c>
      <c r="I39" s="92">
        <v>6</v>
      </c>
      <c r="J39" s="92">
        <v>7</v>
      </c>
      <c r="K39" s="92">
        <v>7</v>
      </c>
      <c r="L39" s="92">
        <v>7</v>
      </c>
      <c r="P39" s="139"/>
      <c r="Q39" s="139"/>
      <c r="R39" s="139"/>
      <c r="S39" s="139"/>
      <c r="T39" s="139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39">
        <v>37</v>
      </c>
      <c r="B40" s="171" t="s">
        <v>220</v>
      </c>
      <c r="C40" s="118">
        <v>1</v>
      </c>
      <c r="D40" s="181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9"/>
      <c r="Q40" s="139"/>
      <c r="R40" s="139"/>
      <c r="S40" s="139"/>
      <c r="T40" s="13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39">
        <v>38</v>
      </c>
      <c r="B41" s="171" t="s">
        <v>221</v>
      </c>
      <c r="C41" s="195"/>
      <c r="D41" s="180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P41" s="139"/>
      <c r="Q41" s="139"/>
      <c r="R41" s="139"/>
      <c r="S41" s="139"/>
      <c r="T41" s="139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39">
        <v>39</v>
      </c>
      <c r="B42" s="171" t="s">
        <v>120</v>
      </c>
      <c r="C42" s="118">
        <v>1</v>
      </c>
      <c r="D42" s="196"/>
      <c r="E42" s="17">
        <v>7</v>
      </c>
      <c r="F42" s="8">
        <v>7</v>
      </c>
      <c r="G42" s="8">
        <v>5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30">
      <c r="A43" s="39">
        <v>40</v>
      </c>
      <c r="B43" s="171" t="s">
        <v>241</v>
      </c>
      <c r="C43" s="118">
        <v>1</v>
      </c>
      <c r="D43" s="181"/>
      <c r="E43" s="17">
        <v>6</v>
      </c>
      <c r="F43" s="8">
        <v>6</v>
      </c>
      <c r="G43" s="8">
        <v>7</v>
      </c>
      <c r="H43" s="8">
        <v>6</v>
      </c>
      <c r="I43" s="8">
        <v>6</v>
      </c>
      <c r="J43" s="8">
        <v>7</v>
      </c>
      <c r="K43" s="8">
        <v>7</v>
      </c>
      <c r="L43" s="8">
        <v>6</v>
      </c>
    </row>
    <row r="44" spans="1:30">
      <c r="A44" s="39">
        <v>41</v>
      </c>
      <c r="B44" s="171" t="s">
        <v>137</v>
      </c>
      <c r="C44" s="118"/>
      <c r="D44" s="180">
        <v>1</v>
      </c>
      <c r="E44" s="79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</row>
    <row r="45" spans="1:30">
      <c r="A45" s="39">
        <v>42</v>
      </c>
      <c r="B45" s="171" t="s">
        <v>242</v>
      </c>
      <c r="C45" s="118">
        <v>1</v>
      </c>
      <c r="D45" s="181"/>
      <c r="E45" s="17">
        <v>6</v>
      </c>
      <c r="F45" s="8">
        <v>6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6</v>
      </c>
    </row>
    <row r="46" spans="1:30">
      <c r="A46" s="39">
        <v>43</v>
      </c>
      <c r="B46" s="171" t="s">
        <v>106</v>
      </c>
      <c r="C46" s="118"/>
      <c r="D46" s="180">
        <v>1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30">
      <c r="A47" s="39">
        <v>44</v>
      </c>
      <c r="B47" s="171" t="s">
        <v>107</v>
      </c>
      <c r="C47" s="118">
        <v>1</v>
      </c>
      <c r="D47" s="196"/>
      <c r="E47" s="17">
        <v>7</v>
      </c>
      <c r="F47" s="8">
        <v>6</v>
      </c>
      <c r="G47" s="8">
        <v>6</v>
      </c>
      <c r="H47" s="8">
        <v>6</v>
      </c>
      <c r="I47" s="8">
        <v>6</v>
      </c>
      <c r="J47" s="8">
        <v>7</v>
      </c>
      <c r="K47" s="8">
        <v>7</v>
      </c>
      <c r="L47" s="8">
        <v>7</v>
      </c>
    </row>
    <row r="48" spans="1:30">
      <c r="A48" s="39">
        <v>45</v>
      </c>
      <c r="B48" s="171" t="s">
        <v>185</v>
      </c>
      <c r="C48" s="118"/>
      <c r="D48" s="180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30">
      <c r="A49" s="39">
        <v>46</v>
      </c>
      <c r="B49" s="171" t="s">
        <v>243</v>
      </c>
      <c r="C49" s="118">
        <v>1</v>
      </c>
      <c r="D49" s="181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30">
      <c r="A50" s="39">
        <v>47</v>
      </c>
      <c r="B50" s="171" t="s">
        <v>248</v>
      </c>
      <c r="C50" s="118"/>
      <c r="D50" s="180">
        <v>1</v>
      </c>
      <c r="E50" s="79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</row>
    <row r="51" spans="1:30">
      <c r="A51" s="38">
        <v>48</v>
      </c>
      <c r="B51" s="171" t="s">
        <v>249</v>
      </c>
      <c r="C51" s="118">
        <v>1</v>
      </c>
      <c r="D51" s="181"/>
      <c r="E51" s="17">
        <v>6</v>
      </c>
      <c r="F51" s="8">
        <v>6</v>
      </c>
      <c r="G51" s="8">
        <v>7</v>
      </c>
      <c r="H51" s="8">
        <v>6</v>
      </c>
      <c r="I51" s="8">
        <v>6</v>
      </c>
      <c r="J51" s="8">
        <v>7</v>
      </c>
      <c r="K51" s="8">
        <v>7</v>
      </c>
      <c r="L51" s="8">
        <v>6</v>
      </c>
    </row>
    <row r="52" spans="1:30">
      <c r="A52" s="39">
        <v>49</v>
      </c>
      <c r="B52" s="171" t="s">
        <v>250</v>
      </c>
      <c r="C52" s="118"/>
      <c r="D52" s="180">
        <v>1</v>
      </c>
      <c r="E52" s="79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</row>
    <row r="53" spans="1:30">
      <c r="A53" s="39">
        <v>50</v>
      </c>
      <c r="B53" s="171" t="s">
        <v>251</v>
      </c>
      <c r="C53" s="118">
        <v>1</v>
      </c>
      <c r="D53" s="196"/>
      <c r="E53" s="17">
        <v>6</v>
      </c>
      <c r="F53" s="8">
        <v>6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6</v>
      </c>
    </row>
    <row r="54" spans="1:30">
      <c r="A54" s="30"/>
      <c r="B54" s="4"/>
      <c r="C54" s="4">
        <f>SUM(C4:C53)</f>
        <v>34</v>
      </c>
      <c r="D54" s="4">
        <f>SUM(D4:D53)</f>
        <v>16</v>
      </c>
      <c r="I54" s="1"/>
      <c r="J54" s="1"/>
      <c r="K54" s="139"/>
      <c r="L54" s="138"/>
      <c r="M54" s="138"/>
      <c r="N54" s="138"/>
      <c r="O54" s="167"/>
      <c r="P54" s="168"/>
      <c r="Q54" s="172"/>
      <c r="R54" s="168"/>
      <c r="S54" s="168"/>
      <c r="T54" s="168"/>
      <c r="U54" s="168"/>
      <c r="V54" s="168"/>
      <c r="W54" s="139"/>
    </row>
    <row r="55" spans="1:30">
      <c r="A55" s="29"/>
      <c r="B55" s="30"/>
      <c r="C55" s="45">
        <f>+C54/50</f>
        <v>0.68</v>
      </c>
      <c r="D55" s="45">
        <f>+D54/50</f>
        <v>0.32</v>
      </c>
      <c r="J55" s="1"/>
      <c r="K55" s="1"/>
      <c r="L55" s="139"/>
      <c r="M55" s="138"/>
      <c r="N55" s="173"/>
      <c r="O55" s="138"/>
      <c r="T55" s="139"/>
      <c r="U55" s="139"/>
      <c r="V55" s="139"/>
      <c r="W55" s="139"/>
      <c r="AA55" s="1"/>
      <c r="AB55" s="1"/>
      <c r="AC55" s="1"/>
      <c r="AD55" s="1"/>
    </row>
    <row r="56" spans="1:30">
      <c r="A56" s="29"/>
      <c r="B56" s="30"/>
      <c r="C56" s="29"/>
      <c r="O56" s="138"/>
      <c r="U56" s="139"/>
      <c r="V56" s="139"/>
      <c r="W56" s="139"/>
      <c r="AB56" s="1"/>
      <c r="AC56" s="1"/>
      <c r="AD56" s="1"/>
    </row>
    <row r="57" spans="1:30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30">
      <c r="A58" s="29"/>
      <c r="B58" s="30"/>
      <c r="C58" s="29"/>
      <c r="D58" s="68">
        <v>7</v>
      </c>
      <c r="E58" s="64">
        <v>14</v>
      </c>
      <c r="F58" s="64">
        <v>11</v>
      </c>
      <c r="G58" s="64">
        <v>28</v>
      </c>
      <c r="H58" s="64">
        <v>1</v>
      </c>
      <c r="I58" s="64">
        <v>3</v>
      </c>
      <c r="J58" s="64">
        <v>32</v>
      </c>
      <c r="K58" s="64">
        <v>31</v>
      </c>
      <c r="L58" s="65">
        <v>12</v>
      </c>
    </row>
    <row r="59" spans="1:30">
      <c r="A59" s="29"/>
      <c r="B59" s="30"/>
      <c r="C59" s="29"/>
      <c r="D59" s="69">
        <v>6</v>
      </c>
      <c r="E59" s="4">
        <v>20</v>
      </c>
      <c r="F59" s="4">
        <v>23</v>
      </c>
      <c r="G59" s="4">
        <v>5</v>
      </c>
      <c r="H59" s="4">
        <v>33</v>
      </c>
      <c r="I59" s="4">
        <v>31</v>
      </c>
      <c r="J59" s="4">
        <v>2</v>
      </c>
      <c r="K59" s="4">
        <v>3</v>
      </c>
      <c r="L59" s="66">
        <v>22</v>
      </c>
    </row>
    <row r="60" spans="1:30">
      <c r="A60" s="29"/>
      <c r="B60" s="30"/>
      <c r="C60" s="29"/>
      <c r="D60" s="69">
        <v>5</v>
      </c>
      <c r="G60" s="4">
        <v>1</v>
      </c>
      <c r="L60" s="66"/>
    </row>
    <row r="61" spans="1:30">
      <c r="A61" s="29"/>
      <c r="B61" s="30"/>
      <c r="C61" s="29"/>
      <c r="D61" s="69">
        <v>4</v>
      </c>
      <c r="L61" s="66"/>
    </row>
    <row r="62" spans="1:30">
      <c r="A62" s="29"/>
      <c r="C62" s="1"/>
      <c r="D62" s="69">
        <v>3</v>
      </c>
      <c r="L62" s="66"/>
    </row>
    <row r="63" spans="1:30">
      <c r="C63" s="1"/>
      <c r="D63" s="69">
        <v>2</v>
      </c>
      <c r="L63" s="66"/>
    </row>
    <row r="64" spans="1:30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 t="shared" ref="E65:L65" si="7">SUM(E58:E64)</f>
        <v>34</v>
      </c>
      <c r="F65" s="4">
        <f t="shared" si="7"/>
        <v>34</v>
      </c>
      <c r="G65" s="4">
        <f t="shared" si="7"/>
        <v>34</v>
      </c>
      <c r="H65" s="4">
        <f t="shared" si="7"/>
        <v>34</v>
      </c>
      <c r="I65" s="4">
        <f t="shared" si="7"/>
        <v>34</v>
      </c>
      <c r="J65" s="4">
        <f t="shared" si="7"/>
        <v>34</v>
      </c>
      <c r="K65" s="4">
        <f t="shared" si="7"/>
        <v>34</v>
      </c>
      <c r="L65" s="4">
        <f t="shared" si="7"/>
        <v>34</v>
      </c>
    </row>
    <row r="66" spans="1:14">
      <c r="C66" s="1"/>
      <c r="D66" s="1"/>
    </row>
    <row r="67" spans="1:14">
      <c r="D67" s="28" t="s">
        <v>59</v>
      </c>
      <c r="E67" s="4">
        <f>$C54*7</f>
        <v>238</v>
      </c>
      <c r="F67" s="4">
        <f t="shared" ref="F67:L67" si="8">$C54*7</f>
        <v>238</v>
      </c>
      <c r="G67" s="4">
        <f t="shared" si="8"/>
        <v>238</v>
      </c>
      <c r="H67" s="4">
        <f t="shared" si="8"/>
        <v>238</v>
      </c>
      <c r="I67" s="4">
        <f t="shared" si="8"/>
        <v>238</v>
      </c>
      <c r="J67" s="4">
        <f t="shared" si="8"/>
        <v>238</v>
      </c>
      <c r="K67" s="4">
        <f t="shared" si="8"/>
        <v>238</v>
      </c>
      <c r="L67" s="4">
        <f t="shared" si="8"/>
        <v>238</v>
      </c>
      <c r="M67" s="1">
        <f>SUM(E67:L67)</f>
        <v>1904</v>
      </c>
    </row>
    <row r="68" spans="1:14" ht="17" thickBot="1">
      <c r="D68" s="28" t="s">
        <v>60</v>
      </c>
      <c r="E68" s="4">
        <f t="shared" ref="E68:L68" si="9">SUM(E5:E53)</f>
        <v>218</v>
      </c>
      <c r="F68" s="4">
        <f t="shared" si="9"/>
        <v>214</v>
      </c>
      <c r="G68" s="4">
        <f t="shared" si="9"/>
        <v>231</v>
      </c>
      <c r="H68" s="4">
        <f t="shared" si="9"/>
        <v>205</v>
      </c>
      <c r="I68" s="4">
        <f t="shared" si="9"/>
        <v>207</v>
      </c>
      <c r="J68" s="4">
        <f t="shared" si="9"/>
        <v>236</v>
      </c>
      <c r="K68" s="4">
        <f t="shared" si="9"/>
        <v>236</v>
      </c>
      <c r="L68" s="4">
        <f t="shared" si="9"/>
        <v>216</v>
      </c>
      <c r="M68" s="1">
        <f>SUM(E68:L68)</f>
        <v>1763</v>
      </c>
    </row>
    <row r="69" spans="1:14" ht="22.5" customHeight="1" thickBot="1">
      <c r="E69" s="45">
        <f t="shared" ref="E69:M69" si="10">+E68/E67</f>
        <v>0.91596638655462181</v>
      </c>
      <c r="F69" s="45">
        <f t="shared" si="10"/>
        <v>0.89915966386554624</v>
      </c>
      <c r="G69" s="45">
        <f t="shared" si="10"/>
        <v>0.97058823529411764</v>
      </c>
      <c r="H69" s="45">
        <f t="shared" si="10"/>
        <v>0.8613445378151261</v>
      </c>
      <c r="I69" s="45">
        <f t="shared" si="10"/>
        <v>0.86974789915966388</v>
      </c>
      <c r="J69" s="45">
        <f t="shared" si="10"/>
        <v>0.99159663865546221</v>
      </c>
      <c r="K69" s="45">
        <f t="shared" si="10"/>
        <v>0.99159663865546221</v>
      </c>
      <c r="L69" s="45">
        <f t="shared" si="10"/>
        <v>0.90756302521008403</v>
      </c>
      <c r="M69" s="137">
        <f t="shared" si="10"/>
        <v>0.92594537815126055</v>
      </c>
    </row>
    <row r="70" spans="1:14" ht="29.25" customHeight="1" thickBot="1">
      <c r="E70" s="1"/>
      <c r="F70" s="1"/>
      <c r="G70" s="1"/>
      <c r="H70" s="1"/>
      <c r="I70" s="1"/>
      <c r="J70" s="1"/>
      <c r="K70" s="1"/>
      <c r="L70" s="1"/>
    </row>
    <row r="71" spans="1:14" ht="31.5" customHeight="1" thickBot="1">
      <c r="A71" s="190"/>
      <c r="B71" s="191" t="s">
        <v>63</v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3"/>
      <c r="N71" s="194"/>
    </row>
    <row r="72" spans="1:14" ht="31.5" customHeight="1">
      <c r="A72" s="182"/>
      <c r="B72" s="183" t="s">
        <v>252</v>
      </c>
      <c r="N72" s="184"/>
    </row>
    <row r="73" spans="1:14" ht="31.5" customHeight="1" thickBot="1">
      <c r="A73" s="182"/>
      <c r="B73" s="185" t="s">
        <v>253</v>
      </c>
      <c r="N73" s="184"/>
    </row>
    <row r="74" spans="1:14" ht="31.5" customHeight="1" thickBot="1">
      <c r="A74" s="182"/>
      <c r="B74" s="185" t="s">
        <v>236</v>
      </c>
      <c r="L74" s="202" t="s">
        <v>92</v>
      </c>
      <c r="M74" s="203"/>
      <c r="N74" s="184"/>
    </row>
    <row r="75" spans="1:14" ht="31.5" customHeight="1" thickBot="1">
      <c r="A75" s="186"/>
      <c r="B75" s="187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7"/>
      <c r="N75" s="189"/>
    </row>
  </sheetData>
  <mergeCells count="3">
    <mergeCell ref="P3:R3"/>
    <mergeCell ref="D57:L57"/>
    <mergeCell ref="L74:M74"/>
  </mergeCells>
  <phoneticPr fontId="12"/>
  <pageMargins left="0.78" right="0.18" top="0.22" bottom="0.17" header="0.5" footer="0.17"/>
  <pageSetup paperSize="9" scale="80" orientation="portrait" r:id="rId1"/>
  <headerFooter alignWithMargins="0"/>
  <rowBreaks count="1" manualBreakCount="1">
    <brk id="55" max="16383" man="1"/>
  </rowBreaks>
  <colBreaks count="1" manualBreakCount="1">
    <brk id="14" max="74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zoomScaleNormal="100" workbookViewId="0">
      <selection activeCell="B10" sqref="B10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83203125" style="4" customWidth="1"/>
    <col min="13" max="13" width="5.83203125" style="89" customWidth="1"/>
    <col min="14" max="16384" width="9" style="89"/>
  </cols>
  <sheetData>
    <row r="1" spans="1:12" ht="18">
      <c r="A1" s="27" t="s">
        <v>159</v>
      </c>
    </row>
    <row r="2" spans="1:12">
      <c r="A2" s="5"/>
    </row>
    <row r="3" spans="1:12" ht="107.25" customHeight="1">
      <c r="A3" s="8"/>
      <c r="B3" s="9"/>
      <c r="C3" s="86" t="s">
        <v>89</v>
      </c>
      <c r="D3" s="87" t="s">
        <v>90</v>
      </c>
      <c r="E3" s="84" t="s">
        <v>54</v>
      </c>
      <c r="F3" s="85" t="s">
        <v>50</v>
      </c>
      <c r="G3" s="85" t="s">
        <v>51</v>
      </c>
      <c r="H3" s="85" t="s">
        <v>52</v>
      </c>
      <c r="I3" s="85" t="s">
        <v>53</v>
      </c>
      <c r="J3" s="85" t="s">
        <v>56</v>
      </c>
      <c r="K3" s="85" t="s">
        <v>57</v>
      </c>
      <c r="L3" s="85" t="s">
        <v>55</v>
      </c>
    </row>
    <row r="4" spans="1:12">
      <c r="A4" s="38">
        <v>1</v>
      </c>
      <c r="B4" s="72"/>
      <c r="C4" s="123"/>
      <c r="D4" s="123"/>
      <c r="E4" s="17"/>
      <c r="F4" s="8"/>
      <c r="G4" s="8"/>
      <c r="H4" s="8"/>
      <c r="I4" s="8"/>
      <c r="J4" s="8"/>
      <c r="K4" s="8"/>
      <c r="L4" s="8"/>
    </row>
    <row r="5" spans="1:12">
      <c r="A5" s="39">
        <v>2</v>
      </c>
      <c r="B5" s="72"/>
      <c r="C5" s="119"/>
      <c r="D5" s="123"/>
      <c r="E5" s="17"/>
      <c r="F5" s="8"/>
      <c r="G5" s="8"/>
      <c r="H5" s="8"/>
      <c r="I5" s="8"/>
      <c r="J5" s="8"/>
      <c r="K5" s="8"/>
      <c r="L5" s="8"/>
    </row>
    <row r="6" spans="1:12">
      <c r="A6" s="39">
        <v>3</v>
      </c>
      <c r="B6" s="72"/>
      <c r="C6" s="123"/>
      <c r="D6" s="123"/>
      <c r="E6" s="17"/>
      <c r="F6" s="8"/>
      <c r="G6" s="8"/>
      <c r="H6" s="8"/>
      <c r="I6" s="8"/>
      <c r="J6" s="8"/>
      <c r="K6" s="8"/>
      <c r="L6" s="8"/>
    </row>
    <row r="7" spans="1:12">
      <c r="A7" s="38">
        <v>4</v>
      </c>
      <c r="B7" s="72"/>
      <c r="C7" s="119"/>
      <c r="D7" s="123"/>
      <c r="E7" s="17"/>
      <c r="F7" s="8"/>
      <c r="G7" s="8"/>
      <c r="H7" s="8"/>
      <c r="I7" s="8"/>
      <c r="J7" s="8"/>
      <c r="K7" s="8"/>
      <c r="L7" s="8"/>
    </row>
    <row r="8" spans="1:12">
      <c r="A8" s="39">
        <v>5</v>
      </c>
      <c r="B8" s="72"/>
      <c r="C8" s="123"/>
      <c r="D8" s="123"/>
      <c r="E8" s="17"/>
      <c r="F8" s="8"/>
      <c r="G8" s="8"/>
      <c r="H8" s="8"/>
      <c r="I8" s="8"/>
      <c r="J8" s="8"/>
      <c r="K8" s="8"/>
      <c r="L8" s="8"/>
    </row>
    <row r="9" spans="1:12">
      <c r="A9" s="38">
        <v>6</v>
      </c>
      <c r="B9" s="72"/>
      <c r="C9" s="123"/>
      <c r="D9" s="123"/>
      <c r="E9" s="17"/>
      <c r="F9" s="8"/>
      <c r="G9" s="8"/>
      <c r="H9" s="8"/>
      <c r="I9" s="8"/>
      <c r="J9" s="8"/>
      <c r="K9" s="8"/>
      <c r="L9" s="8"/>
    </row>
    <row r="10" spans="1:12">
      <c r="A10" s="39">
        <v>7</v>
      </c>
      <c r="B10" s="72"/>
      <c r="C10" s="119"/>
      <c r="D10" s="123"/>
      <c r="E10" s="17"/>
      <c r="F10" s="8"/>
      <c r="G10" s="8"/>
      <c r="H10" s="8"/>
      <c r="I10" s="8"/>
      <c r="J10" s="8"/>
      <c r="K10" s="8"/>
      <c r="L10" s="8"/>
    </row>
    <row r="11" spans="1:12">
      <c r="A11" s="39">
        <v>8</v>
      </c>
      <c r="B11" s="72"/>
      <c r="C11" s="123"/>
      <c r="D11" s="123"/>
      <c r="E11" s="17"/>
      <c r="F11" s="8"/>
      <c r="G11" s="8"/>
      <c r="H11" s="8"/>
      <c r="I11" s="8"/>
      <c r="J11" s="8"/>
      <c r="K11" s="8"/>
      <c r="L11" s="8"/>
    </row>
    <row r="12" spans="1:12">
      <c r="A12" s="39">
        <v>9</v>
      </c>
      <c r="B12" s="72"/>
      <c r="C12" s="123"/>
      <c r="D12" s="123"/>
      <c r="E12" s="17"/>
      <c r="F12" s="8"/>
      <c r="G12" s="8"/>
      <c r="H12" s="8"/>
      <c r="I12" s="8"/>
      <c r="J12" s="8"/>
      <c r="K12" s="8"/>
      <c r="L12" s="8"/>
    </row>
    <row r="13" spans="1:12">
      <c r="A13" s="38">
        <v>10</v>
      </c>
      <c r="B13" s="72"/>
      <c r="C13" s="119"/>
      <c r="D13" s="123"/>
      <c r="E13" s="17"/>
      <c r="F13" s="8"/>
      <c r="G13" s="8"/>
      <c r="H13" s="8"/>
      <c r="I13" s="8"/>
      <c r="J13" s="8"/>
      <c r="K13" s="8"/>
      <c r="L13" s="8"/>
    </row>
    <row r="14" spans="1:12">
      <c r="A14" s="38">
        <v>11</v>
      </c>
      <c r="B14" s="72"/>
      <c r="C14" s="123"/>
      <c r="D14" s="123"/>
      <c r="E14" s="17"/>
      <c r="F14" s="8"/>
      <c r="G14" s="8"/>
      <c r="H14" s="8"/>
      <c r="I14" s="8"/>
      <c r="J14" s="8"/>
      <c r="K14" s="8"/>
      <c r="L14" s="8"/>
    </row>
    <row r="15" spans="1:12">
      <c r="A15" s="39">
        <v>12</v>
      </c>
      <c r="B15" s="72"/>
      <c r="C15" s="119"/>
      <c r="D15" s="123"/>
      <c r="E15" s="17"/>
      <c r="F15" s="8"/>
      <c r="G15" s="8"/>
      <c r="H15" s="8"/>
      <c r="I15" s="8"/>
      <c r="J15" s="8"/>
      <c r="K15" s="8"/>
      <c r="L15" s="8"/>
    </row>
    <row r="16" spans="1:12">
      <c r="A16" s="38">
        <v>13</v>
      </c>
      <c r="B16" s="72"/>
      <c r="C16" s="119"/>
      <c r="D16" s="123"/>
      <c r="E16" s="17"/>
      <c r="F16" s="8"/>
      <c r="G16" s="8"/>
      <c r="H16" s="8"/>
      <c r="I16" s="8"/>
      <c r="J16" s="8"/>
      <c r="K16" s="8"/>
      <c r="L16" s="8"/>
    </row>
    <row r="17" spans="1:12">
      <c r="A17" s="38">
        <v>14</v>
      </c>
      <c r="B17" s="72"/>
      <c r="C17" s="119"/>
      <c r="D17" s="123"/>
      <c r="E17" s="17"/>
      <c r="F17" s="8"/>
      <c r="G17" s="8"/>
      <c r="H17" s="8"/>
      <c r="I17" s="8"/>
      <c r="J17" s="8"/>
      <c r="K17" s="8"/>
      <c r="L17" s="8"/>
    </row>
    <row r="18" spans="1:12">
      <c r="A18" s="39">
        <v>15</v>
      </c>
      <c r="B18" s="72"/>
      <c r="C18" s="123"/>
      <c r="D18" s="123"/>
      <c r="E18" s="17"/>
      <c r="F18" s="8"/>
      <c r="G18" s="8"/>
      <c r="H18" s="8"/>
      <c r="I18" s="8"/>
      <c r="J18" s="8"/>
      <c r="K18" s="8"/>
      <c r="L18" s="8"/>
    </row>
    <row r="19" spans="1:12">
      <c r="A19" s="39">
        <v>16</v>
      </c>
      <c r="B19" s="72"/>
      <c r="C19" s="123"/>
      <c r="D19" s="123"/>
      <c r="E19" s="17"/>
      <c r="F19" s="8"/>
      <c r="G19" s="8"/>
      <c r="H19" s="8"/>
      <c r="I19" s="8"/>
      <c r="J19" s="8"/>
      <c r="K19" s="8"/>
      <c r="L19" s="8"/>
    </row>
    <row r="20" spans="1:12" s="1" customFormat="1">
      <c r="A20" s="39">
        <v>17</v>
      </c>
      <c r="B20" s="72"/>
      <c r="C20" s="119"/>
      <c r="D20" s="123"/>
      <c r="E20" s="17"/>
      <c r="F20" s="8"/>
      <c r="G20" s="8"/>
      <c r="H20" s="8"/>
      <c r="I20" s="8"/>
      <c r="J20" s="8"/>
      <c r="K20" s="8"/>
      <c r="L20" s="8"/>
    </row>
    <row r="21" spans="1:12">
      <c r="A21" s="39">
        <v>18</v>
      </c>
      <c r="B21" s="72"/>
      <c r="C21" s="123"/>
      <c r="D21" s="123"/>
      <c r="E21" s="17"/>
      <c r="F21" s="8"/>
      <c r="G21" s="8"/>
      <c r="H21" s="8"/>
      <c r="I21" s="8"/>
      <c r="J21" s="8"/>
      <c r="K21" s="8"/>
      <c r="L21" s="8"/>
    </row>
    <row r="22" spans="1:12">
      <c r="A22" s="39">
        <v>19</v>
      </c>
      <c r="B22" s="72"/>
      <c r="C22" s="123"/>
      <c r="D22" s="123"/>
      <c r="E22" s="17"/>
      <c r="F22" s="8"/>
      <c r="G22" s="8"/>
      <c r="H22" s="8"/>
      <c r="I22" s="8"/>
      <c r="J22" s="8"/>
      <c r="K22" s="8"/>
      <c r="L22" s="8"/>
    </row>
    <row r="23" spans="1:12">
      <c r="A23" s="39">
        <v>20</v>
      </c>
      <c r="B23" s="72"/>
      <c r="C23" s="123"/>
      <c r="D23" s="123"/>
      <c r="E23" s="17"/>
      <c r="F23" s="8"/>
      <c r="G23" s="8"/>
      <c r="H23" s="8"/>
      <c r="I23" s="8"/>
      <c r="J23" s="8"/>
      <c r="K23" s="8"/>
      <c r="L23" s="8"/>
    </row>
    <row r="24" spans="1:12">
      <c r="A24" s="39">
        <v>21</v>
      </c>
      <c r="B24" s="72"/>
      <c r="C24" s="123"/>
      <c r="D24" s="123"/>
      <c r="E24" s="17"/>
      <c r="F24" s="8"/>
      <c r="G24" s="8"/>
      <c r="H24" s="8"/>
      <c r="I24" s="8"/>
      <c r="J24" s="8"/>
      <c r="K24" s="8"/>
      <c r="L24" s="8"/>
    </row>
    <row r="25" spans="1:12">
      <c r="A25" s="38">
        <v>22</v>
      </c>
      <c r="B25" s="72"/>
      <c r="C25" s="123"/>
      <c r="D25" s="123"/>
      <c r="E25" s="17"/>
      <c r="F25" s="8"/>
      <c r="G25" s="8"/>
      <c r="H25" s="8"/>
      <c r="I25" s="8"/>
      <c r="J25" s="8"/>
      <c r="K25" s="8"/>
      <c r="L25" s="8"/>
    </row>
    <row r="26" spans="1:12">
      <c r="A26" s="39">
        <v>23</v>
      </c>
      <c r="B26" s="72"/>
      <c r="C26" s="123"/>
      <c r="D26" s="123"/>
      <c r="E26" s="17"/>
      <c r="F26" s="8"/>
      <c r="G26" s="8"/>
      <c r="H26" s="8"/>
      <c r="I26" s="8"/>
      <c r="J26" s="8"/>
      <c r="K26" s="8"/>
      <c r="L26" s="8"/>
    </row>
    <row r="27" spans="1:12">
      <c r="A27" s="39">
        <v>24</v>
      </c>
      <c r="B27" s="72"/>
      <c r="C27" s="123"/>
      <c r="D27" s="123"/>
      <c r="E27" s="17"/>
      <c r="F27" s="8"/>
      <c r="G27" s="8"/>
      <c r="H27" s="8"/>
      <c r="I27" s="8"/>
      <c r="J27" s="8"/>
      <c r="K27" s="8"/>
      <c r="L27" s="8"/>
    </row>
    <row r="28" spans="1:12">
      <c r="A28" s="39">
        <v>25</v>
      </c>
      <c r="B28" s="72"/>
      <c r="C28" s="123"/>
      <c r="D28" s="123"/>
      <c r="E28" s="17"/>
      <c r="F28" s="8"/>
      <c r="G28" s="8"/>
      <c r="H28" s="8"/>
      <c r="I28" s="8"/>
      <c r="J28" s="8"/>
      <c r="K28" s="8"/>
      <c r="L28" s="8"/>
    </row>
    <row r="29" spans="1:12">
      <c r="A29" s="39">
        <v>26</v>
      </c>
      <c r="B29" s="72"/>
      <c r="C29" s="123"/>
      <c r="D29" s="123"/>
      <c r="E29" s="17"/>
      <c r="F29" s="8"/>
      <c r="G29" s="8"/>
      <c r="H29" s="8"/>
      <c r="I29" s="8"/>
      <c r="J29" s="8"/>
      <c r="K29" s="8"/>
      <c r="L29" s="8"/>
    </row>
    <row r="30" spans="1:12">
      <c r="A30" s="39">
        <v>27</v>
      </c>
      <c r="B30" s="72"/>
      <c r="C30" s="123"/>
      <c r="D30" s="123"/>
      <c r="E30" s="17"/>
      <c r="F30" s="8"/>
      <c r="G30" s="8"/>
      <c r="H30" s="8"/>
      <c r="I30" s="8"/>
      <c r="J30" s="8"/>
      <c r="K30" s="8"/>
      <c r="L30" s="8"/>
    </row>
    <row r="31" spans="1:12">
      <c r="A31" s="39">
        <v>28</v>
      </c>
      <c r="B31" s="72"/>
      <c r="C31" s="123"/>
      <c r="D31" s="123"/>
      <c r="E31" s="17"/>
      <c r="F31" s="8"/>
      <c r="G31" s="8"/>
      <c r="H31" s="8"/>
      <c r="I31" s="8"/>
      <c r="J31" s="8"/>
      <c r="K31" s="8"/>
      <c r="L31" s="8"/>
    </row>
    <row r="32" spans="1:12">
      <c r="A32" s="39">
        <v>29</v>
      </c>
      <c r="B32" s="72"/>
      <c r="C32" s="119"/>
      <c r="D32" s="123"/>
      <c r="E32" s="17"/>
      <c r="F32" s="8"/>
      <c r="G32" s="8"/>
      <c r="H32" s="8"/>
      <c r="I32" s="8"/>
      <c r="J32" s="8"/>
      <c r="K32" s="8"/>
      <c r="L32" s="8"/>
    </row>
    <row r="33" spans="1:12">
      <c r="A33" s="39">
        <v>30</v>
      </c>
      <c r="B33" s="72"/>
      <c r="C33" s="119"/>
      <c r="D33" s="123"/>
      <c r="E33" s="17"/>
      <c r="F33" s="8"/>
      <c r="G33" s="8"/>
      <c r="H33" s="8"/>
      <c r="I33" s="8"/>
      <c r="J33" s="8"/>
      <c r="K33" s="8"/>
      <c r="L33" s="8"/>
    </row>
    <row r="34" spans="1:12">
      <c r="A34" s="39">
        <v>31</v>
      </c>
      <c r="B34" s="72"/>
      <c r="C34" s="119"/>
      <c r="D34" s="123"/>
      <c r="E34" s="17"/>
      <c r="F34" s="8"/>
      <c r="G34" s="8"/>
      <c r="H34" s="8"/>
      <c r="I34" s="8"/>
      <c r="J34" s="8"/>
      <c r="K34" s="8"/>
      <c r="L34" s="8"/>
    </row>
    <row r="35" spans="1:12">
      <c r="A35" s="38">
        <v>32</v>
      </c>
      <c r="B35" s="72"/>
      <c r="C35" s="123"/>
      <c r="D35" s="123"/>
      <c r="E35" s="17"/>
      <c r="F35" s="8"/>
      <c r="G35" s="8"/>
      <c r="H35" s="8"/>
      <c r="I35" s="8"/>
      <c r="J35" s="8"/>
      <c r="K35" s="8"/>
      <c r="L35" s="8"/>
    </row>
    <row r="36" spans="1:12">
      <c r="A36" s="39">
        <v>33</v>
      </c>
      <c r="B36" s="72"/>
      <c r="C36" s="119"/>
      <c r="D36" s="123"/>
      <c r="E36" s="17"/>
      <c r="F36" s="8"/>
      <c r="G36" s="8"/>
      <c r="H36" s="8"/>
      <c r="I36" s="8"/>
      <c r="J36" s="8"/>
      <c r="K36" s="8"/>
      <c r="L36" s="8"/>
    </row>
    <row r="37" spans="1:12">
      <c r="A37" s="39">
        <v>34</v>
      </c>
      <c r="B37" s="72"/>
      <c r="C37" s="123"/>
      <c r="D37" s="123"/>
      <c r="E37" s="17"/>
      <c r="F37" s="8"/>
      <c r="G37" s="8"/>
      <c r="H37" s="8"/>
      <c r="I37" s="8"/>
      <c r="J37" s="8"/>
      <c r="K37" s="8"/>
      <c r="L37" s="8"/>
    </row>
    <row r="38" spans="1:12">
      <c r="A38" s="39">
        <v>35</v>
      </c>
      <c r="B38" s="72"/>
      <c r="C38" s="123"/>
      <c r="D38" s="123"/>
      <c r="E38" s="17"/>
      <c r="F38" s="17"/>
      <c r="G38" s="17"/>
      <c r="H38" s="17"/>
      <c r="I38" s="17"/>
      <c r="J38" s="8"/>
      <c r="K38" s="8"/>
      <c r="L38" s="8"/>
    </row>
    <row r="39" spans="1:12">
      <c r="A39" s="39">
        <v>36</v>
      </c>
      <c r="B39" s="72"/>
      <c r="C39" s="123"/>
      <c r="D39" s="123"/>
      <c r="E39" s="17"/>
      <c r="F39" s="8"/>
      <c r="G39" s="8"/>
      <c r="H39" s="8"/>
      <c r="I39" s="8"/>
      <c r="J39" s="8"/>
      <c r="K39" s="8"/>
      <c r="L39" s="8"/>
    </row>
    <row r="40" spans="1:12">
      <c r="A40" s="39">
        <v>37</v>
      </c>
      <c r="B40" s="72"/>
      <c r="C40" s="119"/>
      <c r="D40" s="123"/>
      <c r="E40" s="17"/>
      <c r="F40" s="8"/>
      <c r="G40" s="8"/>
      <c r="H40" s="8"/>
      <c r="I40" s="8"/>
      <c r="J40" s="8"/>
      <c r="K40" s="8"/>
      <c r="L40" s="8"/>
    </row>
    <row r="41" spans="1:12">
      <c r="A41" s="39">
        <v>38</v>
      </c>
      <c r="B41" s="72"/>
      <c r="C41" s="119"/>
      <c r="D41" s="123"/>
      <c r="E41" s="17"/>
      <c r="F41" s="8"/>
      <c r="G41" s="8"/>
      <c r="H41" s="8"/>
      <c r="I41" s="8"/>
      <c r="J41" s="8"/>
      <c r="K41" s="8"/>
      <c r="L41" s="8"/>
    </row>
    <row r="42" spans="1:12">
      <c r="A42" s="39">
        <v>39</v>
      </c>
      <c r="B42" s="72"/>
      <c r="C42" s="119"/>
      <c r="D42" s="123"/>
      <c r="E42" s="17"/>
      <c r="F42" s="8"/>
      <c r="G42" s="8"/>
      <c r="H42" s="8"/>
      <c r="I42" s="8"/>
      <c r="J42" s="8"/>
      <c r="K42" s="8"/>
      <c r="L42" s="8"/>
    </row>
    <row r="43" spans="1:12">
      <c r="A43" s="39">
        <v>40</v>
      </c>
      <c r="B43" s="72"/>
      <c r="C43" s="119"/>
      <c r="D43" s="123"/>
      <c r="E43" s="17"/>
      <c r="F43" s="8"/>
      <c r="G43" s="8"/>
      <c r="H43" s="8"/>
      <c r="I43" s="8"/>
      <c r="J43" s="8"/>
      <c r="K43" s="8"/>
      <c r="L43" s="8"/>
    </row>
    <row r="44" spans="1:12">
      <c r="A44" s="39">
        <v>41</v>
      </c>
      <c r="B44" s="72"/>
      <c r="C44" s="123"/>
      <c r="D44" s="123"/>
      <c r="E44" s="17"/>
      <c r="F44" s="8"/>
      <c r="G44" s="8"/>
      <c r="H44" s="8"/>
      <c r="I44" s="8"/>
      <c r="J44" s="8"/>
      <c r="K44" s="8"/>
      <c r="L44" s="8"/>
    </row>
    <row r="45" spans="1:12">
      <c r="A45" s="39">
        <v>42</v>
      </c>
      <c r="B45" s="72"/>
      <c r="C45" s="123"/>
      <c r="D45" s="123"/>
      <c r="E45" s="17"/>
      <c r="F45" s="8"/>
      <c r="G45" s="8"/>
      <c r="H45" s="8"/>
      <c r="I45" s="8"/>
      <c r="J45" s="8"/>
      <c r="K45" s="8"/>
      <c r="L45" s="8"/>
    </row>
    <row r="46" spans="1:12">
      <c r="A46" s="39">
        <v>43</v>
      </c>
      <c r="B46" s="72"/>
      <c r="C46" s="123"/>
      <c r="D46" s="123"/>
      <c r="E46" s="17"/>
      <c r="F46" s="8"/>
      <c r="G46" s="8"/>
      <c r="H46" s="8"/>
      <c r="I46" s="8"/>
      <c r="J46" s="8"/>
      <c r="K46" s="8"/>
      <c r="L46" s="8"/>
    </row>
    <row r="47" spans="1:12">
      <c r="A47" s="39">
        <v>44</v>
      </c>
      <c r="B47" s="72"/>
      <c r="C47" s="123"/>
      <c r="D47" s="123"/>
      <c r="E47" s="17"/>
      <c r="F47" s="8"/>
      <c r="G47" s="8"/>
      <c r="H47" s="8"/>
      <c r="I47" s="8"/>
      <c r="J47" s="8"/>
      <c r="K47" s="8"/>
      <c r="L47" s="8"/>
    </row>
    <row r="48" spans="1:12">
      <c r="A48" s="39">
        <v>45</v>
      </c>
      <c r="B48" s="72"/>
      <c r="C48" s="123"/>
      <c r="D48" s="123"/>
      <c r="E48" s="17"/>
      <c r="F48" s="8"/>
      <c r="G48" s="8"/>
      <c r="H48" s="8"/>
      <c r="I48" s="8"/>
      <c r="J48" s="8"/>
      <c r="K48" s="8"/>
      <c r="L48" s="8"/>
    </row>
    <row r="49" spans="1:12">
      <c r="A49" s="39">
        <v>46</v>
      </c>
      <c r="B49" s="72"/>
      <c r="C49" s="123"/>
      <c r="D49" s="123"/>
      <c r="E49" s="17"/>
      <c r="F49" s="8"/>
      <c r="G49" s="8"/>
      <c r="H49" s="8"/>
      <c r="I49" s="8"/>
      <c r="J49" s="8"/>
      <c r="K49" s="8"/>
      <c r="L49" s="8"/>
    </row>
    <row r="50" spans="1:12">
      <c r="A50" s="38">
        <v>47</v>
      </c>
      <c r="B50" s="72"/>
      <c r="C50" s="123"/>
      <c r="D50" s="123"/>
      <c r="E50" s="17"/>
      <c r="F50" s="8"/>
      <c r="G50" s="8"/>
      <c r="H50" s="8"/>
      <c r="I50" s="8"/>
      <c r="J50" s="8"/>
      <c r="K50" s="8"/>
      <c r="L50" s="8"/>
    </row>
    <row r="51" spans="1:12">
      <c r="A51" s="39">
        <v>48</v>
      </c>
      <c r="B51" s="72"/>
      <c r="C51" s="119"/>
      <c r="D51" s="123"/>
      <c r="E51" s="17"/>
      <c r="F51" s="8"/>
      <c r="G51" s="8"/>
      <c r="H51" s="8"/>
      <c r="I51" s="8"/>
      <c r="J51" s="8"/>
      <c r="K51" s="8"/>
      <c r="L51" s="8"/>
    </row>
    <row r="52" spans="1:12">
      <c r="A52" s="39">
        <v>49</v>
      </c>
      <c r="B52" s="72"/>
      <c r="C52" s="123"/>
      <c r="D52" s="123"/>
      <c r="E52" s="17"/>
      <c r="F52" s="8"/>
      <c r="G52" s="8"/>
      <c r="H52" s="8"/>
      <c r="I52" s="8"/>
      <c r="J52" s="8"/>
      <c r="K52" s="8"/>
      <c r="L52" s="8"/>
    </row>
    <row r="53" spans="1:12">
      <c r="A53" s="38">
        <v>50</v>
      </c>
      <c r="B53" s="72"/>
      <c r="C53" s="123"/>
      <c r="D53" s="124"/>
      <c r="E53" s="17"/>
      <c r="F53" s="8"/>
      <c r="G53" s="8"/>
      <c r="H53" s="8"/>
      <c r="I53" s="8"/>
      <c r="J53" s="8"/>
      <c r="K53" s="8"/>
      <c r="L53" s="8"/>
    </row>
    <row r="54" spans="1:12">
      <c r="A54" s="29"/>
      <c r="B54" s="30"/>
      <c r="C54" s="4">
        <f>SUM(C4:C53)</f>
        <v>0</v>
      </c>
      <c r="D54" s="4">
        <f>SUM(D4:D53)</f>
        <v>0</v>
      </c>
    </row>
    <row r="55" spans="1:12">
      <c r="A55" s="29"/>
      <c r="B55" s="30"/>
      <c r="C55" s="45">
        <f>+C54/50</f>
        <v>0</v>
      </c>
      <c r="D55" s="45">
        <f>+D54/50</f>
        <v>0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/>
      <c r="F58" s="64"/>
      <c r="G58" s="64"/>
      <c r="H58" s="64"/>
      <c r="I58" s="64"/>
      <c r="J58" s="64"/>
      <c r="K58" s="64"/>
      <c r="L58" s="65"/>
    </row>
    <row r="59" spans="1:12">
      <c r="A59" s="29"/>
      <c r="B59" s="30"/>
      <c r="C59" s="29"/>
      <c r="D59" s="69">
        <v>6</v>
      </c>
      <c r="L59" s="66"/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0">SUM(E58:E64)</f>
        <v>0</v>
      </c>
      <c r="F65" s="4">
        <f t="shared" si="0"/>
        <v>0</v>
      </c>
      <c r="G65" s="4">
        <f t="shared" si="0"/>
        <v>0</v>
      </c>
      <c r="H65" s="4">
        <f t="shared" si="0"/>
        <v>0</v>
      </c>
      <c r="I65" s="4">
        <f t="shared" si="0"/>
        <v>0</v>
      </c>
      <c r="J65" s="4">
        <f t="shared" si="0"/>
        <v>0</v>
      </c>
      <c r="K65" s="4">
        <f t="shared" si="0"/>
        <v>0</v>
      </c>
      <c r="L65" s="4">
        <f t="shared" si="0"/>
        <v>0</v>
      </c>
    </row>
    <row r="66" spans="2:13">
      <c r="C66" s="1"/>
      <c r="D66" s="1"/>
    </row>
    <row r="67" spans="2:13">
      <c r="D67" s="28" t="s">
        <v>59</v>
      </c>
      <c r="E67" s="4">
        <f>$C54*7</f>
        <v>0</v>
      </c>
      <c r="F67" s="4">
        <f t="shared" ref="F67:L67" si="1">$C54*7</f>
        <v>0</v>
      </c>
      <c r="G67" s="4">
        <f t="shared" si="1"/>
        <v>0</v>
      </c>
      <c r="H67" s="4">
        <f t="shared" si="1"/>
        <v>0</v>
      </c>
      <c r="I67" s="4">
        <f t="shared" si="1"/>
        <v>0</v>
      </c>
      <c r="J67" s="4">
        <f t="shared" si="1"/>
        <v>0</v>
      </c>
      <c r="K67" s="4">
        <f t="shared" si="1"/>
        <v>0</v>
      </c>
      <c r="L67" s="4">
        <f t="shared" si="1"/>
        <v>0</v>
      </c>
      <c r="M67" s="89">
        <f>SUM(E67:L67)</f>
        <v>0</v>
      </c>
    </row>
    <row r="68" spans="2:13" ht="17" thickBot="1">
      <c r="D68" s="28" t="s">
        <v>60</v>
      </c>
      <c r="E68" s="4">
        <f t="shared" ref="E68:L68" si="2">SUM(E4:E53)</f>
        <v>0</v>
      </c>
      <c r="F68" s="4">
        <f t="shared" si="2"/>
        <v>0</v>
      </c>
      <c r="G68" s="4">
        <f t="shared" si="2"/>
        <v>0</v>
      </c>
      <c r="H68" s="4">
        <f t="shared" si="2"/>
        <v>0</v>
      </c>
      <c r="I68" s="4">
        <f t="shared" si="2"/>
        <v>0</v>
      </c>
      <c r="J68" s="4">
        <f t="shared" si="2"/>
        <v>0</v>
      </c>
      <c r="K68" s="4">
        <f t="shared" si="2"/>
        <v>0</v>
      </c>
      <c r="L68" s="4">
        <f t="shared" si="2"/>
        <v>0</v>
      </c>
      <c r="M68" s="89">
        <f>SUM(E68:L68)</f>
        <v>0</v>
      </c>
    </row>
    <row r="69" spans="2:13" ht="22.5" customHeight="1" thickBot="1">
      <c r="E69" s="45" t="e">
        <f t="shared" ref="E69:M69" si="3">+E68/E67</f>
        <v>#DIV/0!</v>
      </c>
      <c r="F69" s="45" t="e">
        <f t="shared" si="3"/>
        <v>#DIV/0!</v>
      </c>
      <c r="G69" s="45" t="e">
        <f t="shared" si="3"/>
        <v>#DIV/0!</v>
      </c>
      <c r="H69" s="45" t="e">
        <f t="shared" si="3"/>
        <v>#DIV/0!</v>
      </c>
      <c r="I69" s="45" t="e">
        <f t="shared" si="3"/>
        <v>#DIV/0!</v>
      </c>
      <c r="J69" s="45" t="e">
        <f t="shared" si="3"/>
        <v>#DIV/0!</v>
      </c>
      <c r="K69" s="45" t="e">
        <f t="shared" si="3"/>
        <v>#DIV/0!</v>
      </c>
      <c r="L69" s="45" t="e">
        <f t="shared" si="3"/>
        <v>#DIV/0!</v>
      </c>
      <c r="M69" s="115" t="e">
        <f t="shared" si="3"/>
        <v>#DIV/0!</v>
      </c>
    </row>
    <row r="71" spans="2:13">
      <c r="B71" s="62" t="s">
        <v>63</v>
      </c>
    </row>
    <row r="72" spans="2:13">
      <c r="B72" s="62" t="s">
        <v>160</v>
      </c>
    </row>
    <row r="73" spans="2:13" ht="17" thickBot="1">
      <c r="B73" s="63" t="s">
        <v>158</v>
      </c>
    </row>
    <row r="74" spans="2:13" ht="17.25" customHeight="1" thickBot="1">
      <c r="B74" s="63" t="s">
        <v>109</v>
      </c>
      <c r="L74" s="204" t="s">
        <v>92</v>
      </c>
      <c r="M74" s="205"/>
    </row>
  </sheetData>
  <mergeCells count="2">
    <mergeCell ref="D57:L57"/>
    <mergeCell ref="L74:M74"/>
  </mergeCells>
  <phoneticPr fontId="2" type="noConversion"/>
  <pageMargins left="1.1417322834645669" right="0.19685039370078741" top="0.55118110236220474" bottom="0.35433070866141736" header="0.51181102362204722" footer="0.51181102362204722"/>
  <pageSetup paperSize="9" scale="85" orientation="portrait" r:id="rId1"/>
  <headerFooter alignWithMargins="0">
    <oddFooter>&amp;LADM-17 (12/13)</oddFooter>
  </headerFooter>
  <rowBreaks count="1" manualBreakCount="1">
    <brk id="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297A-4671-494E-B915-2F8327A8A335}">
  <dimension ref="A1:AD75"/>
  <sheetViews>
    <sheetView zoomScaleNormal="100"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B7" sqref="B7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5" width="5.5" style="4" customWidth="1"/>
    <col min="6" max="9" width="5.83203125" style="4" customWidth="1"/>
    <col min="10" max="10" width="6.6640625" style="4" customWidth="1"/>
    <col min="11" max="11" width="6.1640625" style="4" customWidth="1"/>
    <col min="12" max="12" width="5.83203125" style="4" customWidth="1"/>
    <col min="13" max="13" width="6.1640625" style="1" customWidth="1"/>
    <col min="14" max="14" width="4.5" style="1" customWidth="1"/>
    <col min="15" max="15" width="36.6640625" style="139" customWidth="1"/>
    <col min="16" max="16" width="5.6640625" style="138" customWidth="1"/>
    <col min="17" max="17" width="5.83203125" style="138" customWidth="1"/>
    <col min="18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244</v>
      </c>
      <c r="O1" s="160" t="str">
        <f>+A1</f>
        <v>Customer Satisfaction Survey 2021 Check List ( By Telephone on 17 August 2021 )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71" t="s">
        <v>125</v>
      </c>
      <c r="C4" s="176">
        <v>1</v>
      </c>
      <c r="D4" s="181"/>
      <c r="E4" s="17">
        <v>6</v>
      </c>
      <c r="F4" s="8">
        <v>6</v>
      </c>
      <c r="G4" s="8">
        <v>7</v>
      </c>
      <c r="H4" s="8">
        <v>6</v>
      </c>
      <c r="I4" s="8">
        <v>6</v>
      </c>
      <c r="J4" s="8">
        <v>7</v>
      </c>
      <c r="K4" s="8">
        <v>7</v>
      </c>
      <c r="L4" s="8">
        <v>6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71" t="s">
        <v>143</v>
      </c>
      <c r="C5" s="176">
        <v>1</v>
      </c>
      <c r="D5" s="181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18</v>
      </c>
      <c r="V5" s="145">
        <f>+E58</f>
        <v>15</v>
      </c>
      <c r="W5" s="138">
        <f>SUM(P5:V5)</f>
        <v>33</v>
      </c>
      <c r="X5" s="138"/>
      <c r="Y5" s="139">
        <f t="shared" ref="Y5:Y12" si="0">+W5*7</f>
        <v>231</v>
      </c>
      <c r="AA5" s="139">
        <f t="shared" ref="AA5:AA12" si="1">+P5*P$4+Q5*Q$4+R5*R$4+S5*S$4+T5*T$4+U5*U$4+V5*V$4</f>
        <v>213</v>
      </c>
    </row>
    <row r="6" spans="1:30">
      <c r="A6" s="39">
        <v>3</v>
      </c>
      <c r="B6" s="171" t="s">
        <v>93</v>
      </c>
      <c r="C6" s="176">
        <v>1</v>
      </c>
      <c r="D6" s="181"/>
      <c r="E6" s="17">
        <v>7</v>
      </c>
      <c r="F6" s="8">
        <v>7</v>
      </c>
      <c r="G6" s="8">
        <v>7</v>
      </c>
      <c r="H6" s="8">
        <v>6</v>
      </c>
      <c r="I6" s="8">
        <v>6</v>
      </c>
      <c r="J6" s="8">
        <v>7</v>
      </c>
      <c r="K6" s="8">
        <v>7</v>
      </c>
      <c r="L6" s="8">
        <v>7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21</v>
      </c>
      <c r="V6" s="145">
        <f>+F58</f>
        <v>12</v>
      </c>
      <c r="W6" s="138">
        <f t="shared" ref="W6:W12" si="2">SUM(P6:V6)</f>
        <v>33</v>
      </c>
      <c r="X6" s="138"/>
      <c r="Y6" s="139">
        <f t="shared" si="0"/>
        <v>231</v>
      </c>
      <c r="AA6" s="139">
        <f t="shared" si="1"/>
        <v>210</v>
      </c>
    </row>
    <row r="7" spans="1:30">
      <c r="A7" s="38">
        <v>4</v>
      </c>
      <c r="B7" s="171" t="s">
        <v>14</v>
      </c>
      <c r="C7" s="176">
        <v>1</v>
      </c>
      <c r="D7" s="181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1</v>
      </c>
      <c r="U7" s="145">
        <f>+G59</f>
        <v>3</v>
      </c>
      <c r="V7" s="145">
        <f>+G58</f>
        <v>29</v>
      </c>
      <c r="W7" s="138">
        <f t="shared" si="2"/>
        <v>33</v>
      </c>
      <c r="X7" s="138"/>
      <c r="Y7" s="139">
        <f t="shared" si="0"/>
        <v>231</v>
      </c>
      <c r="AA7" s="139">
        <f t="shared" si="1"/>
        <v>226</v>
      </c>
    </row>
    <row r="8" spans="1:30">
      <c r="A8" s="39">
        <v>5</v>
      </c>
      <c r="B8" s="171" t="s">
        <v>96</v>
      </c>
      <c r="C8" s="176">
        <v>1</v>
      </c>
      <c r="D8" s="181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33</v>
      </c>
      <c r="V8" s="145">
        <f>+H58</f>
        <v>0</v>
      </c>
      <c r="W8" s="138">
        <f t="shared" si="2"/>
        <v>33</v>
      </c>
      <c r="X8" s="138"/>
      <c r="Y8" s="139">
        <f t="shared" si="0"/>
        <v>231</v>
      </c>
      <c r="AA8" s="139">
        <f t="shared" si="1"/>
        <v>198</v>
      </c>
    </row>
    <row r="9" spans="1:30">
      <c r="A9" s="38">
        <v>6</v>
      </c>
      <c r="B9" s="171" t="s">
        <v>190</v>
      </c>
      <c r="C9" s="176">
        <v>1</v>
      </c>
      <c r="D9" s="181"/>
      <c r="E9" s="17">
        <v>7</v>
      </c>
      <c r="F9" s="8">
        <v>7</v>
      </c>
      <c r="G9" s="8">
        <v>7</v>
      </c>
      <c r="H9" s="8">
        <v>6</v>
      </c>
      <c r="I9" s="8">
        <v>6</v>
      </c>
      <c r="J9" s="8">
        <v>7</v>
      </c>
      <c r="K9" s="8">
        <v>7</v>
      </c>
      <c r="L9" s="8">
        <v>7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32</v>
      </c>
      <c r="V9" s="145">
        <f>+I58</f>
        <v>1</v>
      </c>
      <c r="W9" s="138">
        <f t="shared" si="2"/>
        <v>33</v>
      </c>
      <c r="X9" s="138"/>
      <c r="Y9" s="139">
        <f t="shared" si="0"/>
        <v>231</v>
      </c>
      <c r="AA9" s="139">
        <f t="shared" si="1"/>
        <v>199</v>
      </c>
    </row>
    <row r="10" spans="1:30">
      <c r="A10" s="39">
        <v>7</v>
      </c>
      <c r="B10" s="171" t="s">
        <v>165</v>
      </c>
      <c r="C10" s="176">
        <v>1</v>
      </c>
      <c r="D10" s="181"/>
      <c r="E10" s="17">
        <v>6</v>
      </c>
      <c r="F10" s="8">
        <v>6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6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0</v>
      </c>
      <c r="V10" s="145">
        <f>+J58</f>
        <v>33</v>
      </c>
      <c r="W10" s="138">
        <f t="shared" si="2"/>
        <v>33</v>
      </c>
      <c r="X10" s="138"/>
      <c r="Y10" s="139">
        <f t="shared" si="0"/>
        <v>231</v>
      </c>
      <c r="AA10" s="139">
        <f t="shared" si="1"/>
        <v>231</v>
      </c>
    </row>
    <row r="11" spans="1:30">
      <c r="A11" s="39">
        <v>8</v>
      </c>
      <c r="B11" s="171" t="s">
        <v>97</v>
      </c>
      <c r="C11" s="176">
        <v>1</v>
      </c>
      <c r="D11" s="181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0</v>
      </c>
      <c r="V11" s="145">
        <f>+K58</f>
        <v>33</v>
      </c>
      <c r="W11" s="138">
        <f t="shared" si="2"/>
        <v>33</v>
      </c>
      <c r="X11" s="138"/>
      <c r="Y11" s="139">
        <f t="shared" si="0"/>
        <v>231</v>
      </c>
      <c r="AA11" s="139">
        <f t="shared" si="1"/>
        <v>231</v>
      </c>
    </row>
    <row r="12" spans="1:30">
      <c r="A12" s="39">
        <v>9</v>
      </c>
      <c r="B12" s="171" t="s">
        <v>237</v>
      </c>
      <c r="C12" s="176"/>
      <c r="D12" s="180">
        <v>1</v>
      </c>
      <c r="E12" s="79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0">
        <v>0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18</v>
      </c>
      <c r="V12" s="145">
        <f>+L58</f>
        <v>15</v>
      </c>
      <c r="W12" s="138">
        <f t="shared" si="2"/>
        <v>33</v>
      </c>
      <c r="X12" s="138"/>
      <c r="Y12" s="139">
        <f t="shared" si="0"/>
        <v>231</v>
      </c>
      <c r="AA12" s="139">
        <f t="shared" si="1"/>
        <v>213</v>
      </c>
    </row>
    <row r="13" spans="1:30" ht="17" thickBot="1">
      <c r="A13" s="38">
        <v>10</v>
      </c>
      <c r="B13" s="171" t="s">
        <v>130</v>
      </c>
      <c r="C13" s="176">
        <v>1</v>
      </c>
      <c r="D13" s="181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  <c r="O13" s="146" t="s">
        <v>204</v>
      </c>
      <c r="P13" s="138">
        <f>SUM(P5:P12)</f>
        <v>0</v>
      </c>
      <c r="Q13" s="138">
        <f t="shared" ref="Q13:V13" si="3">SUM(Q5:Q12)</f>
        <v>0</v>
      </c>
      <c r="R13" s="138">
        <f t="shared" si="3"/>
        <v>0</v>
      </c>
      <c r="S13" s="138">
        <f t="shared" si="3"/>
        <v>0</v>
      </c>
      <c r="T13" s="138">
        <f t="shared" si="3"/>
        <v>1</v>
      </c>
      <c r="U13" s="138">
        <f t="shared" si="3"/>
        <v>125</v>
      </c>
      <c r="V13" s="138">
        <f t="shared" si="3"/>
        <v>138</v>
      </c>
      <c r="W13" s="147">
        <f>SUM(W5:W12)</f>
        <v>264</v>
      </c>
      <c r="X13" s="138"/>
      <c r="Y13" s="148">
        <f>SUM(Y5:Y12)</f>
        <v>1848</v>
      </c>
      <c r="AA13" s="148">
        <f>SUM(AA5:AA12)</f>
        <v>1721</v>
      </c>
    </row>
    <row r="14" spans="1:30" ht="17" thickTop="1">
      <c r="A14" s="38">
        <v>11</v>
      </c>
      <c r="B14" s="171" t="s">
        <v>214</v>
      </c>
      <c r="C14" s="176"/>
      <c r="D14" s="180">
        <v>1</v>
      </c>
      <c r="E14" s="79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</row>
    <row r="15" spans="1:30">
      <c r="A15" s="39">
        <v>12</v>
      </c>
      <c r="B15" s="171" t="s">
        <v>100</v>
      </c>
      <c r="C15" s="176">
        <v>1</v>
      </c>
      <c r="D15" s="181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4">+P13/$W$13</f>
        <v>0</v>
      </c>
      <c r="Q15" s="162">
        <f t="shared" si="4"/>
        <v>0</v>
      </c>
      <c r="R15" s="162">
        <f t="shared" si="4"/>
        <v>0</v>
      </c>
      <c r="S15" s="162">
        <f t="shared" si="4"/>
        <v>0</v>
      </c>
      <c r="T15" s="162">
        <f t="shared" si="4"/>
        <v>3.787878787878788E-3</v>
      </c>
      <c r="U15" s="162">
        <f t="shared" si="4"/>
        <v>0.47348484848484851</v>
      </c>
      <c r="V15" s="162">
        <f t="shared" si="4"/>
        <v>0.52272727272727271</v>
      </c>
      <c r="W15" s="149">
        <f t="shared" si="4"/>
        <v>1</v>
      </c>
      <c r="X15"/>
      <c r="Y15" s="150"/>
      <c r="Z15" s="151" t="s">
        <v>205</v>
      </c>
      <c r="AA15" s="152">
        <f>+AA13/Y13*100</f>
        <v>93.127705627705623</v>
      </c>
      <c r="AB15"/>
      <c r="AC15"/>
      <c r="AD15"/>
    </row>
    <row r="16" spans="1:30">
      <c r="A16" s="38">
        <v>13</v>
      </c>
      <c r="B16" s="171" t="s">
        <v>24</v>
      </c>
      <c r="C16" s="176">
        <v>1</v>
      </c>
      <c r="D16" s="181"/>
      <c r="E16" s="17">
        <v>6</v>
      </c>
      <c r="F16" s="8">
        <v>6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6</v>
      </c>
    </row>
    <row r="17" spans="1:30">
      <c r="A17" s="38">
        <v>14</v>
      </c>
      <c r="B17" s="171" t="s">
        <v>238</v>
      </c>
      <c r="C17" s="176">
        <v>1</v>
      </c>
      <c r="D17" s="181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30">
      <c r="A18" s="39">
        <v>15</v>
      </c>
      <c r="B18" s="171" t="s">
        <v>25</v>
      </c>
      <c r="C18" s="176">
        <v>1</v>
      </c>
      <c r="D18" s="181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  <c r="O18" s="144" t="s">
        <v>196</v>
      </c>
      <c r="P18" s="154">
        <f t="shared" ref="P18:V25" si="5">+P5/$W5</f>
        <v>0</v>
      </c>
      <c r="Q18" s="154">
        <f t="shared" si="5"/>
        <v>0</v>
      </c>
      <c r="R18" s="154">
        <f t="shared" si="5"/>
        <v>0</v>
      </c>
      <c r="S18" s="154">
        <f t="shared" si="5"/>
        <v>0</v>
      </c>
      <c r="T18" s="154">
        <f t="shared" si="5"/>
        <v>0</v>
      </c>
      <c r="U18" s="154">
        <f t="shared" si="5"/>
        <v>0.54545454545454541</v>
      </c>
      <c r="V18" s="154">
        <f t="shared" si="5"/>
        <v>0.45454545454545453</v>
      </c>
      <c r="W18" s="170">
        <f>SUM(P18:V18)</f>
        <v>1</v>
      </c>
    </row>
    <row r="19" spans="1:30">
      <c r="A19" s="39">
        <v>16</v>
      </c>
      <c r="B19" s="171" t="s">
        <v>113</v>
      </c>
      <c r="C19" s="176"/>
      <c r="D19" s="180">
        <v>1</v>
      </c>
      <c r="E19" s="79">
        <v>0</v>
      </c>
      <c r="F19" s="80">
        <v>0</v>
      </c>
      <c r="G19" s="80">
        <v>0</v>
      </c>
      <c r="H19" s="80">
        <v>0</v>
      </c>
      <c r="I19" s="80">
        <v>0</v>
      </c>
      <c r="J19" s="80">
        <v>0</v>
      </c>
      <c r="K19" s="80">
        <v>0</v>
      </c>
      <c r="L19" s="80">
        <v>0</v>
      </c>
      <c r="O19" s="144" t="s">
        <v>196</v>
      </c>
      <c r="P19" s="154">
        <f t="shared" si="5"/>
        <v>0</v>
      </c>
      <c r="Q19" s="154">
        <f t="shared" si="5"/>
        <v>0</v>
      </c>
      <c r="R19" s="154">
        <f t="shared" si="5"/>
        <v>0</v>
      </c>
      <c r="S19" s="154">
        <f t="shared" si="5"/>
        <v>0</v>
      </c>
      <c r="T19" s="154">
        <f t="shared" si="5"/>
        <v>0</v>
      </c>
      <c r="U19" s="154">
        <f t="shared" si="5"/>
        <v>0.63636363636363635</v>
      </c>
      <c r="V19" s="154">
        <f t="shared" si="5"/>
        <v>0.36363636363636365</v>
      </c>
      <c r="W19" s="170">
        <f t="shared" ref="W19:W25" si="6">SUM(P19:V19)</f>
        <v>1</v>
      </c>
      <c r="X19" s="170"/>
    </row>
    <row r="20" spans="1:30">
      <c r="A20" s="39">
        <v>17</v>
      </c>
      <c r="B20" s="171" t="s">
        <v>170</v>
      </c>
      <c r="C20" s="176">
        <v>1</v>
      </c>
      <c r="D20" s="181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si="5"/>
        <v>0</v>
      </c>
      <c r="Q20" s="154">
        <f t="shared" si="5"/>
        <v>0</v>
      </c>
      <c r="R20" s="154">
        <f t="shared" si="5"/>
        <v>0</v>
      </c>
      <c r="S20" s="154">
        <f t="shared" si="5"/>
        <v>0</v>
      </c>
      <c r="T20" s="154">
        <f t="shared" si="5"/>
        <v>3.0303030303030304E-2</v>
      </c>
      <c r="U20" s="154">
        <f t="shared" si="5"/>
        <v>9.0909090909090912E-2</v>
      </c>
      <c r="V20" s="154">
        <f t="shared" si="5"/>
        <v>0.87878787878787878</v>
      </c>
      <c r="W20" s="170">
        <f t="shared" si="6"/>
        <v>1</v>
      </c>
      <c r="X20" s="170"/>
    </row>
    <row r="21" spans="1:30">
      <c r="A21" s="39">
        <v>18</v>
      </c>
      <c r="B21" s="171" t="s">
        <v>70</v>
      </c>
      <c r="C21" s="176">
        <v>1</v>
      </c>
      <c r="D21" s="181"/>
      <c r="E21" s="17">
        <v>7</v>
      </c>
      <c r="F21" s="8">
        <v>7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7</v>
      </c>
      <c r="O21" s="144" t="s">
        <v>199</v>
      </c>
      <c r="P21" s="154">
        <f t="shared" si="5"/>
        <v>0</v>
      </c>
      <c r="Q21" s="154">
        <f t="shared" si="5"/>
        <v>0</v>
      </c>
      <c r="R21" s="154">
        <f t="shared" si="5"/>
        <v>0</v>
      </c>
      <c r="S21" s="154">
        <f t="shared" si="5"/>
        <v>0</v>
      </c>
      <c r="T21" s="154">
        <f t="shared" si="5"/>
        <v>0</v>
      </c>
      <c r="U21" s="154">
        <f t="shared" si="5"/>
        <v>1</v>
      </c>
      <c r="V21" s="154">
        <f t="shared" si="5"/>
        <v>0</v>
      </c>
      <c r="W21" s="170">
        <f t="shared" si="6"/>
        <v>1</v>
      </c>
      <c r="X21" s="170"/>
    </row>
    <row r="22" spans="1:30">
      <c r="A22" s="39">
        <v>19</v>
      </c>
      <c r="B22" s="171" t="s">
        <v>232</v>
      </c>
      <c r="C22" s="176">
        <v>1</v>
      </c>
      <c r="D22" s="181"/>
      <c r="E22" s="17">
        <v>7</v>
      </c>
      <c r="F22" s="8">
        <v>7</v>
      </c>
      <c r="G22" s="8">
        <v>7</v>
      </c>
      <c r="H22" s="8">
        <v>6</v>
      </c>
      <c r="I22" s="8">
        <v>6</v>
      </c>
      <c r="J22" s="8">
        <v>7</v>
      </c>
      <c r="K22" s="8">
        <v>7</v>
      </c>
      <c r="L22" s="8">
        <v>7</v>
      </c>
      <c r="O22" s="144" t="s">
        <v>200</v>
      </c>
      <c r="P22" s="154">
        <f t="shared" si="5"/>
        <v>0</v>
      </c>
      <c r="Q22" s="154">
        <f t="shared" si="5"/>
        <v>0</v>
      </c>
      <c r="R22" s="154">
        <f t="shared" si="5"/>
        <v>0</v>
      </c>
      <c r="S22" s="154">
        <f t="shared" si="5"/>
        <v>0</v>
      </c>
      <c r="T22" s="154">
        <f t="shared" si="5"/>
        <v>0</v>
      </c>
      <c r="U22" s="154">
        <f t="shared" si="5"/>
        <v>0.96969696969696972</v>
      </c>
      <c r="V22" s="154">
        <f t="shared" si="5"/>
        <v>3.0303030303030304E-2</v>
      </c>
      <c r="W22" s="170">
        <f t="shared" si="6"/>
        <v>1</v>
      </c>
      <c r="X22" s="170"/>
    </row>
    <row r="23" spans="1:30">
      <c r="A23" s="39">
        <v>20</v>
      </c>
      <c r="B23" s="171" t="s">
        <v>233</v>
      </c>
      <c r="C23" s="176"/>
      <c r="D23" s="180">
        <v>1</v>
      </c>
      <c r="E23" s="79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O23" s="144" t="s">
        <v>201</v>
      </c>
      <c r="P23" s="154">
        <f t="shared" si="5"/>
        <v>0</v>
      </c>
      <c r="Q23" s="154">
        <f t="shared" si="5"/>
        <v>0</v>
      </c>
      <c r="R23" s="154">
        <f t="shared" si="5"/>
        <v>0</v>
      </c>
      <c r="S23" s="154">
        <f t="shared" si="5"/>
        <v>0</v>
      </c>
      <c r="T23" s="154">
        <f t="shared" si="5"/>
        <v>0</v>
      </c>
      <c r="U23" s="154">
        <f t="shared" si="5"/>
        <v>0</v>
      </c>
      <c r="V23" s="154">
        <f t="shared" si="5"/>
        <v>1</v>
      </c>
      <c r="W23" s="170">
        <f t="shared" si="6"/>
        <v>1</v>
      </c>
      <c r="X23" s="170"/>
    </row>
    <row r="24" spans="1:30">
      <c r="A24" s="39">
        <v>21</v>
      </c>
      <c r="B24" s="171" t="s">
        <v>115</v>
      </c>
      <c r="C24" s="176"/>
      <c r="D24" s="180">
        <v>1</v>
      </c>
      <c r="E24" s="79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>
        <v>0</v>
      </c>
      <c r="L24" s="80">
        <v>0</v>
      </c>
      <c r="O24" s="144" t="s">
        <v>202</v>
      </c>
      <c r="P24" s="154">
        <f t="shared" si="5"/>
        <v>0</v>
      </c>
      <c r="Q24" s="154">
        <f t="shared" si="5"/>
        <v>0</v>
      </c>
      <c r="R24" s="154">
        <f t="shared" si="5"/>
        <v>0</v>
      </c>
      <c r="S24" s="154">
        <f t="shared" si="5"/>
        <v>0</v>
      </c>
      <c r="T24" s="154">
        <f t="shared" si="5"/>
        <v>0</v>
      </c>
      <c r="U24" s="154">
        <f t="shared" si="5"/>
        <v>0</v>
      </c>
      <c r="V24" s="154">
        <f t="shared" si="5"/>
        <v>1</v>
      </c>
      <c r="W24" s="170">
        <f t="shared" si="6"/>
        <v>1</v>
      </c>
      <c r="X24" s="170"/>
    </row>
    <row r="25" spans="1:30">
      <c r="A25" s="39">
        <v>22</v>
      </c>
      <c r="B25" s="171" t="s">
        <v>33</v>
      </c>
      <c r="C25" s="176"/>
      <c r="D25" s="180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O25" s="144" t="s">
        <v>203</v>
      </c>
      <c r="P25" s="154">
        <f t="shared" si="5"/>
        <v>0</v>
      </c>
      <c r="Q25" s="154">
        <f t="shared" si="5"/>
        <v>0</v>
      </c>
      <c r="R25" s="154">
        <f t="shared" si="5"/>
        <v>0</v>
      </c>
      <c r="S25" s="154">
        <f t="shared" si="5"/>
        <v>0</v>
      </c>
      <c r="T25" s="154">
        <f t="shared" si="5"/>
        <v>0</v>
      </c>
      <c r="U25" s="154">
        <f t="shared" si="5"/>
        <v>0.54545454545454541</v>
      </c>
      <c r="V25" s="154">
        <f t="shared" si="5"/>
        <v>0.45454545454545453</v>
      </c>
      <c r="W25" s="170">
        <f t="shared" si="6"/>
        <v>1</v>
      </c>
      <c r="X25" s="170"/>
    </row>
    <row r="26" spans="1:30">
      <c r="A26" s="38">
        <v>23</v>
      </c>
      <c r="B26" s="171" t="s">
        <v>147</v>
      </c>
      <c r="C26" s="176"/>
      <c r="D26" s="180">
        <v>1</v>
      </c>
      <c r="E26" s="79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O26" s="166"/>
      <c r="P26" s="166"/>
      <c r="Q26" s="169"/>
      <c r="R26" s="166"/>
      <c r="S26" s="166"/>
      <c r="T26" s="166"/>
      <c r="U26" s="166"/>
      <c r="V26" s="166"/>
      <c r="W26" s="139"/>
    </row>
    <row r="27" spans="1:30">
      <c r="A27" s="39">
        <v>24</v>
      </c>
      <c r="B27" s="171" t="s">
        <v>34</v>
      </c>
      <c r="C27" s="176"/>
      <c r="D27" s="180">
        <v>1</v>
      </c>
      <c r="E27" s="79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P27" s="139"/>
      <c r="Q27" s="139"/>
      <c r="R27" s="139"/>
      <c r="S27" s="139"/>
      <c r="T27" s="139"/>
    </row>
    <row r="28" spans="1:30">
      <c r="A28" s="39">
        <v>25</v>
      </c>
      <c r="B28" s="171" t="s">
        <v>117</v>
      </c>
      <c r="C28" s="176"/>
      <c r="D28" s="180">
        <v>1</v>
      </c>
      <c r="E28" s="79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>
        <v>0</v>
      </c>
      <c r="L28" s="80">
        <v>0</v>
      </c>
    </row>
    <row r="29" spans="1:30">
      <c r="A29" s="39">
        <v>26</v>
      </c>
      <c r="B29" s="171" t="s">
        <v>191</v>
      </c>
      <c r="C29" s="176">
        <v>1</v>
      </c>
      <c r="D29" s="181"/>
      <c r="E29" s="17">
        <v>7</v>
      </c>
      <c r="F29" s="8">
        <v>6</v>
      </c>
      <c r="G29" s="8">
        <v>6</v>
      </c>
      <c r="H29" s="8">
        <v>6</v>
      </c>
      <c r="I29" s="8">
        <v>6</v>
      </c>
      <c r="J29" s="8">
        <v>7</v>
      </c>
      <c r="K29" s="8">
        <v>7</v>
      </c>
      <c r="L29" s="8">
        <v>7</v>
      </c>
    </row>
    <row r="30" spans="1:30">
      <c r="A30" s="39">
        <v>27</v>
      </c>
      <c r="B30" s="171" t="s">
        <v>239</v>
      </c>
      <c r="C30" s="176">
        <v>1</v>
      </c>
      <c r="D30" s="181"/>
      <c r="E30" s="17">
        <v>6</v>
      </c>
      <c r="F30" s="8">
        <v>6</v>
      </c>
      <c r="G30" s="8">
        <v>7</v>
      </c>
      <c r="H30" s="8">
        <v>6</v>
      </c>
      <c r="I30" s="8">
        <v>6</v>
      </c>
      <c r="J30" s="8">
        <v>7</v>
      </c>
      <c r="K30" s="8">
        <v>7</v>
      </c>
      <c r="L30" s="8">
        <v>6</v>
      </c>
      <c r="P30" s="139"/>
      <c r="Q30" s="139"/>
      <c r="R30" s="139"/>
      <c r="S30" s="139"/>
      <c r="T30" s="139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39">
        <v>28</v>
      </c>
      <c r="B31" s="171" t="s">
        <v>218</v>
      </c>
      <c r="C31" s="176"/>
      <c r="D31" s="180">
        <v>1</v>
      </c>
      <c r="E31" s="79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>
        <v>0</v>
      </c>
      <c r="L31" s="80">
        <v>0</v>
      </c>
      <c r="P31" s="139"/>
      <c r="Q31" s="139"/>
      <c r="R31" s="139"/>
      <c r="S31" s="139"/>
      <c r="T31" s="139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39">
        <v>29</v>
      </c>
      <c r="B32" s="171" t="s">
        <v>148</v>
      </c>
      <c r="C32" s="176">
        <v>1</v>
      </c>
      <c r="D32" s="181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  <c r="P32" s="139"/>
      <c r="Q32" s="139"/>
      <c r="R32" s="139"/>
      <c r="S32" s="139"/>
      <c r="T32" s="139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39">
        <v>30</v>
      </c>
      <c r="B33" s="171" t="s">
        <v>76</v>
      </c>
      <c r="C33" s="176">
        <v>1</v>
      </c>
      <c r="D33" s="181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P33" s="139"/>
      <c r="Q33" s="139"/>
      <c r="R33" s="139"/>
      <c r="S33" s="139"/>
      <c r="T33" s="139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39">
        <v>31</v>
      </c>
      <c r="B34" s="171" t="s">
        <v>38</v>
      </c>
      <c r="C34" s="176">
        <v>1</v>
      </c>
      <c r="D34" s="181"/>
      <c r="E34" s="17">
        <v>7</v>
      </c>
      <c r="F34" s="8">
        <v>7</v>
      </c>
      <c r="G34" s="8">
        <v>7</v>
      </c>
      <c r="H34" s="8">
        <v>6</v>
      </c>
      <c r="I34" s="8">
        <v>6</v>
      </c>
      <c r="J34" s="8">
        <v>7</v>
      </c>
      <c r="K34" s="8">
        <v>7</v>
      </c>
      <c r="L34" s="8">
        <v>7</v>
      </c>
      <c r="P34" s="139"/>
      <c r="Q34" s="139"/>
      <c r="R34" s="139"/>
      <c r="S34" s="139"/>
      <c r="T34" s="139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39">
        <v>32</v>
      </c>
      <c r="B35" s="171" t="s">
        <v>77</v>
      </c>
      <c r="C35" s="176"/>
      <c r="D35" s="180">
        <v>1</v>
      </c>
      <c r="E35" s="79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>
        <v>0</v>
      </c>
      <c r="L35" s="80">
        <v>0</v>
      </c>
      <c r="P35" s="139"/>
      <c r="Q35" s="139"/>
      <c r="R35" s="139"/>
      <c r="S35" s="139"/>
      <c r="T35" s="139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38">
        <v>33</v>
      </c>
      <c r="B36" s="171" t="s">
        <v>234</v>
      </c>
      <c r="C36" s="176">
        <v>1</v>
      </c>
      <c r="D36" s="181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  <c r="P36" s="139"/>
      <c r="Q36" s="139"/>
      <c r="R36" s="139"/>
      <c r="S36" s="139"/>
      <c r="T36" s="139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39">
        <v>34</v>
      </c>
      <c r="B37" s="171" t="s">
        <v>183</v>
      </c>
      <c r="C37" s="176">
        <v>1</v>
      </c>
      <c r="D37" s="181"/>
      <c r="E37" s="17">
        <v>6</v>
      </c>
      <c r="F37" s="8">
        <v>6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6</v>
      </c>
      <c r="P37" s="139"/>
      <c r="Q37" s="139"/>
      <c r="R37" s="139"/>
      <c r="S37" s="139"/>
      <c r="T37" s="139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39">
        <v>35</v>
      </c>
      <c r="B38" s="171" t="s">
        <v>119</v>
      </c>
      <c r="C38" s="176">
        <v>1</v>
      </c>
      <c r="D38" s="181"/>
      <c r="E38" s="17">
        <v>7</v>
      </c>
      <c r="F38" s="8">
        <v>7</v>
      </c>
      <c r="G38" s="8">
        <v>7</v>
      </c>
      <c r="H38" s="8">
        <v>6</v>
      </c>
      <c r="I38" s="8">
        <v>6</v>
      </c>
      <c r="J38" s="8">
        <v>7</v>
      </c>
      <c r="K38" s="8">
        <v>7</v>
      </c>
      <c r="L38" s="8">
        <v>7</v>
      </c>
      <c r="P38" s="139"/>
      <c r="Q38" s="139"/>
      <c r="R38" s="139"/>
      <c r="S38" s="139"/>
      <c r="T38" s="139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39">
        <v>36</v>
      </c>
      <c r="B39" s="171" t="s">
        <v>240</v>
      </c>
      <c r="C39" s="176"/>
      <c r="D39" s="180">
        <v>1</v>
      </c>
      <c r="E39" s="79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0">
        <v>0</v>
      </c>
      <c r="P39" s="139"/>
      <c r="Q39" s="139"/>
      <c r="R39" s="139"/>
      <c r="S39" s="139"/>
      <c r="T39" s="139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39">
        <v>37</v>
      </c>
      <c r="B40" s="171" t="s">
        <v>184</v>
      </c>
      <c r="C40" s="176">
        <v>1</v>
      </c>
      <c r="D40" s="181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9"/>
      <c r="Q40" s="139"/>
      <c r="R40" s="139"/>
      <c r="S40" s="139"/>
      <c r="T40" s="13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39">
        <v>38</v>
      </c>
      <c r="B41" s="171" t="s">
        <v>221</v>
      </c>
      <c r="C41" s="176">
        <v>1</v>
      </c>
      <c r="D41" s="181"/>
      <c r="E41" s="17">
        <v>7</v>
      </c>
      <c r="F41" s="8">
        <v>7</v>
      </c>
      <c r="G41" s="8">
        <v>5</v>
      </c>
      <c r="H41" s="8">
        <v>6</v>
      </c>
      <c r="I41" s="8">
        <v>7</v>
      </c>
      <c r="J41" s="8">
        <v>7</v>
      </c>
      <c r="K41" s="8">
        <v>7</v>
      </c>
      <c r="L41" s="8">
        <v>7</v>
      </c>
      <c r="P41" s="139"/>
      <c r="Q41" s="139"/>
      <c r="R41" s="139"/>
      <c r="S41" s="139"/>
      <c r="T41" s="139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39">
        <v>39</v>
      </c>
      <c r="B42" s="171" t="s">
        <v>220</v>
      </c>
      <c r="C42" s="176"/>
      <c r="D42" s="180"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30">
      <c r="A43" s="39">
        <v>40</v>
      </c>
      <c r="B43" s="171" t="s">
        <v>120</v>
      </c>
      <c r="C43" s="176">
        <v>1</v>
      </c>
      <c r="D43" s="181"/>
      <c r="E43" s="17">
        <v>6</v>
      </c>
      <c r="F43" s="8">
        <v>6</v>
      </c>
      <c r="G43" s="8">
        <v>7</v>
      </c>
      <c r="H43" s="8">
        <v>6</v>
      </c>
      <c r="I43" s="8">
        <v>6</v>
      </c>
      <c r="J43" s="8">
        <v>7</v>
      </c>
      <c r="K43" s="8">
        <v>7</v>
      </c>
      <c r="L43" s="8">
        <v>6</v>
      </c>
    </row>
    <row r="44" spans="1:30">
      <c r="A44" s="39">
        <v>41</v>
      </c>
      <c r="B44" s="171" t="s">
        <v>235</v>
      </c>
      <c r="C44" s="176">
        <v>1</v>
      </c>
      <c r="D44" s="181"/>
      <c r="E44" s="17">
        <v>6</v>
      </c>
      <c r="F44" s="8">
        <v>6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6</v>
      </c>
    </row>
    <row r="45" spans="1:30">
      <c r="A45" s="39">
        <v>42</v>
      </c>
      <c r="B45" s="171" t="s">
        <v>241</v>
      </c>
      <c r="C45" s="176">
        <v>1</v>
      </c>
      <c r="D45" s="181"/>
      <c r="E45" s="17">
        <v>6</v>
      </c>
      <c r="F45" s="8">
        <v>6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6</v>
      </c>
    </row>
    <row r="46" spans="1:30">
      <c r="A46" s="39">
        <v>43</v>
      </c>
      <c r="B46" s="171" t="s">
        <v>242</v>
      </c>
      <c r="C46" s="176"/>
      <c r="D46" s="180">
        <v>1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30">
      <c r="A47" s="39">
        <v>44</v>
      </c>
      <c r="B47" s="171" t="s">
        <v>137</v>
      </c>
      <c r="C47" s="176"/>
      <c r="D47" s="180"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30">
      <c r="A48" s="39">
        <v>45</v>
      </c>
      <c r="B48" s="171" t="s">
        <v>222</v>
      </c>
      <c r="C48" s="176">
        <v>1</v>
      </c>
      <c r="D48" s="181"/>
      <c r="E48" s="17">
        <v>6</v>
      </c>
      <c r="F48" s="8">
        <v>6</v>
      </c>
      <c r="G48" s="8">
        <v>7</v>
      </c>
      <c r="H48" s="8">
        <v>6</v>
      </c>
      <c r="I48" s="8">
        <v>6</v>
      </c>
      <c r="J48" s="8">
        <v>7</v>
      </c>
      <c r="K48" s="8">
        <v>7</v>
      </c>
      <c r="L48" s="8">
        <v>6</v>
      </c>
    </row>
    <row r="49" spans="1:30">
      <c r="A49" s="39">
        <v>46</v>
      </c>
      <c r="B49" s="171" t="s">
        <v>44</v>
      </c>
      <c r="C49" s="176">
        <v>1</v>
      </c>
      <c r="D49" s="181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30">
      <c r="A50" s="39">
        <v>47</v>
      </c>
      <c r="B50" s="171" t="s">
        <v>106</v>
      </c>
      <c r="C50" s="176">
        <v>1</v>
      </c>
      <c r="D50" s="181"/>
      <c r="E50" s="17">
        <v>7</v>
      </c>
      <c r="F50" s="8">
        <v>6</v>
      </c>
      <c r="G50" s="8">
        <v>6</v>
      </c>
      <c r="H50" s="8">
        <v>6</v>
      </c>
      <c r="I50" s="8">
        <v>6</v>
      </c>
      <c r="J50" s="8">
        <v>7</v>
      </c>
      <c r="K50" s="8">
        <v>7</v>
      </c>
      <c r="L50" s="8">
        <v>7</v>
      </c>
    </row>
    <row r="51" spans="1:30">
      <c r="A51" s="38">
        <v>48</v>
      </c>
      <c r="B51" s="171" t="s">
        <v>107</v>
      </c>
      <c r="C51" s="176">
        <v>1</v>
      </c>
      <c r="D51" s="181"/>
      <c r="E51" s="17">
        <v>6</v>
      </c>
      <c r="F51" s="8">
        <v>6</v>
      </c>
      <c r="G51" s="8">
        <v>7</v>
      </c>
      <c r="H51" s="8">
        <v>6</v>
      </c>
      <c r="I51" s="8">
        <v>6</v>
      </c>
      <c r="J51" s="8">
        <v>7</v>
      </c>
      <c r="K51" s="8">
        <v>7</v>
      </c>
      <c r="L51" s="8">
        <v>6</v>
      </c>
    </row>
    <row r="52" spans="1:30">
      <c r="A52" s="39">
        <v>49</v>
      </c>
      <c r="B52" s="171" t="s">
        <v>185</v>
      </c>
      <c r="C52" s="176"/>
      <c r="D52" s="180">
        <v>1</v>
      </c>
      <c r="E52" s="79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</row>
    <row r="53" spans="1:30">
      <c r="A53" s="39">
        <v>50</v>
      </c>
      <c r="B53" s="171" t="s">
        <v>243</v>
      </c>
      <c r="C53" s="176"/>
      <c r="D53" s="180">
        <v>1</v>
      </c>
      <c r="E53" s="79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</row>
    <row r="54" spans="1:30">
      <c r="A54" s="30"/>
      <c r="B54" s="4">
        <v>50</v>
      </c>
      <c r="C54" s="4">
        <f>SUM(C4:C53)</f>
        <v>33</v>
      </c>
      <c r="D54" s="4">
        <f>SUM(D4:D53)</f>
        <v>17</v>
      </c>
      <c r="I54" s="1"/>
      <c r="J54" s="1"/>
      <c r="K54" s="139"/>
      <c r="L54" s="138"/>
      <c r="M54" s="138"/>
      <c r="N54" s="138"/>
      <c r="O54" s="167"/>
      <c r="P54" s="168"/>
      <c r="Q54" s="172"/>
      <c r="R54" s="168"/>
      <c r="S54" s="168"/>
      <c r="T54" s="168"/>
      <c r="U54" s="168"/>
      <c r="V54" s="168"/>
      <c r="W54" s="139"/>
    </row>
    <row r="55" spans="1:30">
      <c r="A55" s="29"/>
      <c r="B55" s="30"/>
      <c r="C55" s="45">
        <f>+C54/50</f>
        <v>0.66</v>
      </c>
      <c r="D55" s="45">
        <f>+D54/50</f>
        <v>0.34</v>
      </c>
      <c r="J55" s="1"/>
      <c r="K55" s="1"/>
      <c r="L55" s="139"/>
      <c r="M55" s="138"/>
      <c r="N55" s="173"/>
      <c r="O55" s="138"/>
      <c r="T55" s="139"/>
      <c r="U55" s="139"/>
      <c r="V55" s="139"/>
      <c r="W55" s="139"/>
      <c r="AA55" s="1"/>
      <c r="AB55" s="1"/>
      <c r="AC55" s="1"/>
      <c r="AD55" s="1"/>
    </row>
    <row r="56" spans="1:30">
      <c r="A56" s="29"/>
      <c r="B56" s="30"/>
      <c r="C56" s="29"/>
      <c r="O56" s="138"/>
      <c r="U56" s="139"/>
      <c r="V56" s="139"/>
      <c r="W56" s="139"/>
      <c r="AB56" s="1"/>
      <c r="AC56" s="1"/>
      <c r="AD56" s="1"/>
    </row>
    <row r="57" spans="1:30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30">
      <c r="A58" s="29"/>
      <c r="B58" s="30"/>
      <c r="C58" s="29"/>
      <c r="D58" s="68">
        <v>7</v>
      </c>
      <c r="E58" s="64">
        <v>15</v>
      </c>
      <c r="F58" s="64">
        <v>12</v>
      </c>
      <c r="G58" s="64">
        <v>29</v>
      </c>
      <c r="H58" s="64">
        <v>0</v>
      </c>
      <c r="I58" s="64">
        <v>1</v>
      </c>
      <c r="J58" s="64">
        <v>33</v>
      </c>
      <c r="K58" s="64">
        <v>33</v>
      </c>
      <c r="L58" s="65">
        <v>15</v>
      </c>
    </row>
    <row r="59" spans="1:30">
      <c r="A59" s="29"/>
      <c r="B59" s="30"/>
      <c r="C59" s="29"/>
      <c r="D59" s="69">
        <v>6</v>
      </c>
      <c r="E59" s="4">
        <v>18</v>
      </c>
      <c r="F59" s="4">
        <v>21</v>
      </c>
      <c r="G59" s="4">
        <v>3</v>
      </c>
      <c r="H59" s="4">
        <v>33</v>
      </c>
      <c r="I59" s="4">
        <v>32</v>
      </c>
      <c r="J59" s="4">
        <v>0</v>
      </c>
      <c r="K59" s="4">
        <v>0</v>
      </c>
      <c r="L59" s="66">
        <v>18</v>
      </c>
    </row>
    <row r="60" spans="1:30">
      <c r="A60" s="29"/>
      <c r="B60" s="30"/>
      <c r="C60" s="29"/>
      <c r="D60" s="69">
        <v>5</v>
      </c>
      <c r="G60" s="4">
        <v>1</v>
      </c>
      <c r="L60" s="66"/>
    </row>
    <row r="61" spans="1:30">
      <c r="A61" s="29"/>
      <c r="B61" s="30"/>
      <c r="C61" s="29"/>
      <c r="D61" s="69">
        <v>4</v>
      </c>
      <c r="L61" s="66"/>
    </row>
    <row r="62" spans="1:30">
      <c r="A62" s="29"/>
      <c r="C62" s="1"/>
      <c r="D62" s="69">
        <v>3</v>
      </c>
      <c r="L62" s="66"/>
    </row>
    <row r="63" spans="1:30">
      <c r="C63" s="1"/>
      <c r="D63" s="69">
        <v>2</v>
      </c>
      <c r="L63" s="66"/>
    </row>
    <row r="64" spans="1:30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 t="shared" ref="E65:L65" si="7">SUM(E58:E64)</f>
        <v>33</v>
      </c>
      <c r="F65" s="4">
        <f t="shared" si="7"/>
        <v>33</v>
      </c>
      <c r="G65" s="4">
        <f t="shared" si="7"/>
        <v>33</v>
      </c>
      <c r="H65" s="4">
        <f t="shared" si="7"/>
        <v>33</v>
      </c>
      <c r="I65" s="4">
        <f t="shared" si="7"/>
        <v>33</v>
      </c>
      <c r="J65" s="4">
        <f t="shared" si="7"/>
        <v>33</v>
      </c>
      <c r="K65" s="4">
        <f t="shared" si="7"/>
        <v>33</v>
      </c>
      <c r="L65" s="4">
        <f t="shared" si="7"/>
        <v>33</v>
      </c>
    </row>
    <row r="66" spans="1:14">
      <c r="C66" s="1"/>
      <c r="D66" s="1"/>
    </row>
    <row r="67" spans="1:14">
      <c r="D67" s="28" t="s">
        <v>59</v>
      </c>
      <c r="E67" s="4">
        <f>$C54*7</f>
        <v>231</v>
      </c>
      <c r="F67" s="4">
        <f t="shared" ref="F67:L67" si="8">$C54*7</f>
        <v>231</v>
      </c>
      <c r="G67" s="4">
        <f t="shared" si="8"/>
        <v>231</v>
      </c>
      <c r="H67" s="4">
        <f t="shared" si="8"/>
        <v>231</v>
      </c>
      <c r="I67" s="4">
        <f t="shared" si="8"/>
        <v>231</v>
      </c>
      <c r="J67" s="4">
        <f t="shared" si="8"/>
        <v>231</v>
      </c>
      <c r="K67" s="4">
        <f t="shared" si="8"/>
        <v>231</v>
      </c>
      <c r="L67" s="4">
        <f t="shared" si="8"/>
        <v>231</v>
      </c>
      <c r="M67" s="1">
        <f>SUM(E67:L67)</f>
        <v>1848</v>
      </c>
    </row>
    <row r="68" spans="1:14" ht="17" thickBot="1">
      <c r="D68" s="28" t="s">
        <v>60</v>
      </c>
      <c r="E68" s="4">
        <f t="shared" ref="E68:L68" si="9">SUM(E4:E53)</f>
        <v>213</v>
      </c>
      <c r="F68" s="4">
        <f t="shared" si="9"/>
        <v>210</v>
      </c>
      <c r="G68" s="4">
        <f t="shared" si="9"/>
        <v>226</v>
      </c>
      <c r="H68" s="4">
        <f t="shared" si="9"/>
        <v>198</v>
      </c>
      <c r="I68" s="4">
        <f t="shared" si="9"/>
        <v>199</v>
      </c>
      <c r="J68" s="4">
        <f t="shared" si="9"/>
        <v>231</v>
      </c>
      <c r="K68" s="4">
        <f t="shared" si="9"/>
        <v>231</v>
      </c>
      <c r="L68" s="4">
        <f t="shared" si="9"/>
        <v>213</v>
      </c>
      <c r="M68" s="1">
        <f>SUM(E68:L68)</f>
        <v>1721</v>
      </c>
    </row>
    <row r="69" spans="1:14" ht="22.5" customHeight="1" thickBot="1">
      <c r="E69" s="45">
        <f t="shared" ref="E69:M69" si="10">+E68/E67</f>
        <v>0.92207792207792205</v>
      </c>
      <c r="F69" s="45">
        <f t="shared" si="10"/>
        <v>0.90909090909090906</v>
      </c>
      <c r="G69" s="45">
        <f t="shared" si="10"/>
        <v>0.97835497835497831</v>
      </c>
      <c r="H69" s="45">
        <f t="shared" si="10"/>
        <v>0.8571428571428571</v>
      </c>
      <c r="I69" s="45">
        <f t="shared" si="10"/>
        <v>0.8614718614718615</v>
      </c>
      <c r="J69" s="45">
        <f t="shared" si="10"/>
        <v>1</v>
      </c>
      <c r="K69" s="45">
        <f t="shared" si="10"/>
        <v>1</v>
      </c>
      <c r="L69" s="45">
        <f t="shared" si="10"/>
        <v>0.92207792207792205</v>
      </c>
      <c r="M69" s="137">
        <f t="shared" si="10"/>
        <v>0.93127705627705626</v>
      </c>
    </row>
    <row r="70" spans="1:14" ht="29.25" customHeight="1" thickBot="1">
      <c r="E70" s="1"/>
      <c r="F70" s="1"/>
      <c r="G70" s="1"/>
      <c r="H70" s="1"/>
      <c r="I70" s="1"/>
      <c r="J70" s="1"/>
      <c r="K70" s="1"/>
      <c r="L70" s="1"/>
    </row>
    <row r="71" spans="1:14" ht="31.5" customHeight="1" thickBot="1">
      <c r="A71" s="190"/>
      <c r="B71" s="191" t="s">
        <v>63</v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3"/>
      <c r="N71" s="194"/>
    </row>
    <row r="72" spans="1:14" ht="31.5" customHeight="1">
      <c r="A72" s="182"/>
      <c r="B72" s="183" t="s">
        <v>245</v>
      </c>
      <c r="N72" s="184"/>
    </row>
    <row r="73" spans="1:14" ht="31.5" customHeight="1" thickBot="1">
      <c r="A73" s="182"/>
      <c r="B73" s="185" t="s">
        <v>151</v>
      </c>
      <c r="N73" s="184"/>
    </row>
    <row r="74" spans="1:14" ht="31.5" customHeight="1" thickBot="1">
      <c r="A74" s="182"/>
      <c r="B74" s="185" t="s">
        <v>236</v>
      </c>
      <c r="L74" s="202" t="s">
        <v>92</v>
      </c>
      <c r="M74" s="203"/>
      <c r="N74" s="184"/>
    </row>
    <row r="75" spans="1:14" ht="31.5" customHeight="1" thickBot="1">
      <c r="A75" s="186"/>
      <c r="B75" s="187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7"/>
      <c r="N75" s="189"/>
    </row>
  </sheetData>
  <mergeCells count="3">
    <mergeCell ref="P3:R3"/>
    <mergeCell ref="D57:L57"/>
    <mergeCell ref="L74:M74"/>
  </mergeCells>
  <phoneticPr fontId="2" type="noConversion"/>
  <pageMargins left="0.78" right="0.18" top="0.22" bottom="0.17" header="0.5" footer="0.17"/>
  <pageSetup paperSize="9" scale="85" orientation="portrait" r:id="rId1"/>
  <headerFooter alignWithMargins="0"/>
  <rowBreaks count="1" manualBreakCount="1">
    <brk id="55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5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52" sqref="J52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5" width="5.5" style="4" customWidth="1"/>
    <col min="6" max="12" width="5.83203125" style="4" customWidth="1"/>
    <col min="13" max="13" width="6.1640625" style="1" customWidth="1"/>
    <col min="14" max="14" width="4.5" style="1" customWidth="1"/>
    <col min="15" max="15" width="36.6640625" style="139" customWidth="1"/>
    <col min="16" max="16" width="5.6640625" style="138" customWidth="1"/>
    <col min="17" max="17" width="5.83203125" style="138" customWidth="1"/>
    <col min="18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230</v>
      </c>
      <c r="O1" s="160" t="str">
        <f>+A1</f>
        <v>Customer Satisfaction Survey 2019 Check List ( By Telephone on 3 August 2019 )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61" t="s">
        <v>2</v>
      </c>
      <c r="C4" s="174">
        <v>1</v>
      </c>
      <c r="D4" s="179"/>
      <c r="E4" s="17">
        <v>6</v>
      </c>
      <c r="F4" s="8">
        <v>6</v>
      </c>
      <c r="G4" s="8">
        <v>7</v>
      </c>
      <c r="H4" s="8">
        <v>6</v>
      </c>
      <c r="I4" s="8">
        <v>6</v>
      </c>
      <c r="J4" s="8">
        <v>7</v>
      </c>
      <c r="K4" s="8">
        <v>7</v>
      </c>
      <c r="L4" s="8">
        <v>6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61" t="s">
        <v>125</v>
      </c>
      <c r="C5" s="174">
        <v>1</v>
      </c>
      <c r="D5" s="179"/>
      <c r="E5" s="17">
        <v>7</v>
      </c>
      <c r="F5" s="8">
        <v>7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7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12</v>
      </c>
      <c r="V5" s="145">
        <f>+E58</f>
        <v>21</v>
      </c>
      <c r="W5" s="138">
        <f t="shared" ref="W5:W12" si="0">+P5+Q5+R5+S5+T5+U5+V5</f>
        <v>33</v>
      </c>
      <c r="X5" s="138"/>
      <c r="Y5" s="139">
        <f t="shared" ref="Y5:Y12" si="1">+W5*7</f>
        <v>231</v>
      </c>
      <c r="AA5" s="139">
        <f t="shared" ref="AA5:AA12" si="2">+P5*P$4+Q5*Q$4+R5*R$4+S5*S$4+T5*T$4+U5*U$4+V5*V$4</f>
        <v>219</v>
      </c>
    </row>
    <row r="6" spans="1:30">
      <c r="A6" s="39">
        <v>3</v>
      </c>
      <c r="B6" s="161" t="s">
        <v>143</v>
      </c>
      <c r="C6" s="174">
        <v>1</v>
      </c>
      <c r="D6" s="179"/>
      <c r="E6" s="17">
        <v>7</v>
      </c>
      <c r="F6" s="8">
        <v>7</v>
      </c>
      <c r="G6" s="8">
        <v>7</v>
      </c>
      <c r="H6" s="8">
        <v>6</v>
      </c>
      <c r="I6" s="8">
        <v>6</v>
      </c>
      <c r="J6" s="8">
        <v>7</v>
      </c>
      <c r="K6" s="8">
        <v>7</v>
      </c>
      <c r="L6" s="8">
        <v>7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15</v>
      </c>
      <c r="V6" s="145">
        <f>+F58</f>
        <v>18</v>
      </c>
      <c r="W6" s="138">
        <f t="shared" si="0"/>
        <v>33</v>
      </c>
      <c r="X6" s="138"/>
      <c r="Y6" s="139">
        <f t="shared" si="1"/>
        <v>231</v>
      </c>
      <c r="AA6" s="139">
        <f t="shared" si="2"/>
        <v>216</v>
      </c>
    </row>
    <row r="7" spans="1:30">
      <c r="A7" s="81">
        <v>4</v>
      </c>
      <c r="B7" s="165" t="s">
        <v>226</v>
      </c>
      <c r="C7" s="175"/>
      <c r="D7" s="180">
        <v>1</v>
      </c>
      <c r="E7" s="79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0">
        <v>0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1</v>
      </c>
      <c r="U7" s="145">
        <f>+G59</f>
        <v>3</v>
      </c>
      <c r="V7" s="145">
        <f>+G58</f>
        <v>29</v>
      </c>
      <c r="W7" s="138">
        <f t="shared" si="0"/>
        <v>33</v>
      </c>
      <c r="X7" s="138"/>
      <c r="Y7" s="139">
        <f t="shared" si="1"/>
        <v>231</v>
      </c>
      <c r="AA7" s="139">
        <f t="shared" si="2"/>
        <v>226</v>
      </c>
    </row>
    <row r="8" spans="1:30">
      <c r="A8" s="39">
        <v>5</v>
      </c>
      <c r="B8" s="161" t="s">
        <v>93</v>
      </c>
      <c r="C8" s="174">
        <v>1</v>
      </c>
      <c r="D8" s="179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32</v>
      </c>
      <c r="V8" s="145">
        <f>+H58</f>
        <v>1</v>
      </c>
      <c r="W8" s="138">
        <f t="shared" si="0"/>
        <v>33</v>
      </c>
      <c r="X8" s="138"/>
      <c r="Y8" s="139">
        <f t="shared" si="1"/>
        <v>231</v>
      </c>
      <c r="AA8" s="139">
        <f t="shared" si="2"/>
        <v>199</v>
      </c>
    </row>
    <row r="9" spans="1:30">
      <c r="A9" s="38">
        <v>6</v>
      </c>
      <c r="B9" s="161" t="s">
        <v>14</v>
      </c>
      <c r="C9" s="174">
        <v>1</v>
      </c>
      <c r="D9" s="179"/>
      <c r="E9" s="17">
        <v>7</v>
      </c>
      <c r="F9" s="8">
        <v>7</v>
      </c>
      <c r="G9" s="8">
        <v>7</v>
      </c>
      <c r="H9" s="8">
        <v>6</v>
      </c>
      <c r="I9" s="8">
        <v>6</v>
      </c>
      <c r="J9" s="8">
        <v>7</v>
      </c>
      <c r="K9" s="8">
        <v>7</v>
      </c>
      <c r="L9" s="8">
        <v>7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30</v>
      </c>
      <c r="V9" s="145">
        <f>+I58</f>
        <v>3</v>
      </c>
      <c r="W9" s="138">
        <f t="shared" si="0"/>
        <v>33</v>
      </c>
      <c r="X9" s="138"/>
      <c r="Y9" s="139">
        <f t="shared" si="1"/>
        <v>231</v>
      </c>
      <c r="AA9" s="139">
        <f t="shared" si="2"/>
        <v>201</v>
      </c>
    </row>
    <row r="10" spans="1:30">
      <c r="A10" s="76">
        <v>7</v>
      </c>
      <c r="B10" s="165" t="s">
        <v>214</v>
      </c>
      <c r="C10" s="175"/>
      <c r="D10" s="180">
        <v>1</v>
      </c>
      <c r="E10" s="79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0</v>
      </c>
      <c r="V10" s="145">
        <f>+J58</f>
        <v>33</v>
      </c>
      <c r="W10" s="138">
        <f t="shared" si="0"/>
        <v>33</v>
      </c>
      <c r="X10" s="138"/>
      <c r="Y10" s="139">
        <f t="shared" si="1"/>
        <v>231</v>
      </c>
      <c r="AA10" s="139">
        <f t="shared" si="2"/>
        <v>231</v>
      </c>
    </row>
    <row r="11" spans="1:30">
      <c r="A11" s="39">
        <v>8</v>
      </c>
      <c r="B11" s="161" t="s">
        <v>96</v>
      </c>
      <c r="C11" s="174">
        <v>1</v>
      </c>
      <c r="D11" s="179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0</v>
      </c>
      <c r="V11" s="145">
        <f>+K58</f>
        <v>33</v>
      </c>
      <c r="W11" s="138">
        <f t="shared" si="0"/>
        <v>33</v>
      </c>
      <c r="X11" s="138"/>
      <c r="Y11" s="139">
        <f t="shared" si="1"/>
        <v>231</v>
      </c>
      <c r="AA11" s="139">
        <f t="shared" si="2"/>
        <v>231</v>
      </c>
    </row>
    <row r="12" spans="1:30">
      <c r="A12" s="39">
        <v>9</v>
      </c>
      <c r="B12" s="161" t="s">
        <v>190</v>
      </c>
      <c r="C12" s="174">
        <v>1</v>
      </c>
      <c r="D12" s="179"/>
      <c r="E12" s="17">
        <v>6</v>
      </c>
      <c r="F12" s="8">
        <v>6</v>
      </c>
      <c r="G12" s="8">
        <v>7</v>
      </c>
      <c r="H12" s="8">
        <v>6</v>
      </c>
      <c r="I12" s="8">
        <v>6</v>
      </c>
      <c r="J12" s="8">
        <v>7</v>
      </c>
      <c r="K12" s="8">
        <v>7</v>
      </c>
      <c r="L12" s="8">
        <v>6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13</v>
      </c>
      <c r="V12" s="145">
        <f>+L58</f>
        <v>20</v>
      </c>
      <c r="W12" s="138">
        <f t="shared" si="0"/>
        <v>33</v>
      </c>
      <c r="X12" s="138"/>
      <c r="Y12" s="139">
        <f t="shared" si="1"/>
        <v>231</v>
      </c>
      <c r="AA12" s="139">
        <f t="shared" si="2"/>
        <v>218</v>
      </c>
    </row>
    <row r="13" spans="1:30" ht="17" thickBot="1">
      <c r="A13" s="81">
        <v>10</v>
      </c>
      <c r="B13" s="165" t="s">
        <v>227</v>
      </c>
      <c r="C13" s="175"/>
      <c r="D13" s="180">
        <v>1</v>
      </c>
      <c r="E13" s="79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O13" s="146" t="s">
        <v>204</v>
      </c>
      <c r="P13" s="138">
        <f t="shared" ref="P13:W13" si="3">SUM(P9:P12)</f>
        <v>0</v>
      </c>
      <c r="Q13" s="138">
        <f t="shared" si="3"/>
        <v>0</v>
      </c>
      <c r="R13" s="138">
        <f t="shared" si="3"/>
        <v>0</v>
      </c>
      <c r="S13" s="138">
        <f t="shared" si="3"/>
        <v>0</v>
      </c>
      <c r="T13" s="138">
        <f t="shared" si="3"/>
        <v>0</v>
      </c>
      <c r="U13" s="138">
        <f t="shared" si="3"/>
        <v>43</v>
      </c>
      <c r="V13" s="138">
        <f t="shared" si="3"/>
        <v>89</v>
      </c>
      <c r="W13" s="147">
        <f t="shared" si="3"/>
        <v>132</v>
      </c>
      <c r="X13" s="138"/>
      <c r="Y13" s="148">
        <f>SUM(Y8:Y12)</f>
        <v>1155</v>
      </c>
      <c r="AA13" s="148">
        <f>SUM(AA8:AA12)</f>
        <v>1080</v>
      </c>
    </row>
    <row r="14" spans="1:30" ht="17" thickTop="1">
      <c r="A14" s="38">
        <v>11</v>
      </c>
      <c r="B14" s="161" t="s">
        <v>165</v>
      </c>
      <c r="C14" s="174">
        <v>1</v>
      </c>
      <c r="D14" s="179"/>
      <c r="E14" s="17">
        <v>6</v>
      </c>
      <c r="F14" s="8">
        <v>6</v>
      </c>
      <c r="G14" s="8">
        <v>7</v>
      </c>
      <c r="H14" s="8">
        <v>6</v>
      </c>
      <c r="I14" s="8">
        <v>6</v>
      </c>
      <c r="J14" s="8">
        <v>7</v>
      </c>
      <c r="K14" s="8">
        <v>7</v>
      </c>
      <c r="L14" s="8">
        <v>6</v>
      </c>
    </row>
    <row r="15" spans="1:30">
      <c r="A15" s="39">
        <v>12</v>
      </c>
      <c r="B15" s="161" t="s">
        <v>215</v>
      </c>
      <c r="C15" s="174">
        <v>1</v>
      </c>
      <c r="D15" s="179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4">+P13/$W$13</f>
        <v>0</v>
      </c>
      <c r="Q15" s="162">
        <f t="shared" si="4"/>
        <v>0</v>
      </c>
      <c r="R15" s="162">
        <f t="shared" si="4"/>
        <v>0</v>
      </c>
      <c r="S15" s="162">
        <f t="shared" si="4"/>
        <v>0</v>
      </c>
      <c r="T15" s="162">
        <f t="shared" si="4"/>
        <v>0</v>
      </c>
      <c r="U15" s="162">
        <f t="shared" si="4"/>
        <v>0.32575757575757575</v>
      </c>
      <c r="V15" s="162">
        <f t="shared" si="4"/>
        <v>0.6742424242424242</v>
      </c>
      <c r="W15" s="149">
        <f t="shared" si="4"/>
        <v>1</v>
      </c>
      <c r="X15"/>
      <c r="Y15" s="150"/>
      <c r="Z15" s="151" t="s">
        <v>205</v>
      </c>
      <c r="AA15" s="152">
        <f>+AA13/Y13*100</f>
        <v>93.506493506493499</v>
      </c>
      <c r="AB15"/>
      <c r="AC15"/>
      <c r="AD15"/>
    </row>
    <row r="16" spans="1:30">
      <c r="A16" s="81">
        <v>13</v>
      </c>
      <c r="B16" s="165" t="s">
        <v>69</v>
      </c>
      <c r="C16" s="175"/>
      <c r="D16" s="180">
        <v>1</v>
      </c>
      <c r="E16" s="79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</row>
    <row r="17" spans="1:30">
      <c r="A17" s="38">
        <v>14</v>
      </c>
      <c r="B17" s="161" t="s">
        <v>22</v>
      </c>
      <c r="C17" s="174">
        <v>1</v>
      </c>
      <c r="D17" s="179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30">
      <c r="A18" s="39">
        <v>15</v>
      </c>
      <c r="B18" s="161" t="s">
        <v>167</v>
      </c>
      <c r="C18" s="174">
        <v>1</v>
      </c>
      <c r="D18" s="179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  <c r="O18" s="144" t="s">
        <v>196</v>
      </c>
      <c r="P18" s="154">
        <f t="shared" ref="P18:V18" si="5">+P5/$W5</f>
        <v>0</v>
      </c>
      <c r="Q18" s="154">
        <f t="shared" si="5"/>
        <v>0</v>
      </c>
      <c r="R18" s="154">
        <f t="shared" si="5"/>
        <v>0</v>
      </c>
      <c r="S18" s="154">
        <f t="shared" si="5"/>
        <v>0</v>
      </c>
      <c r="T18" s="154">
        <f t="shared" si="5"/>
        <v>0</v>
      </c>
      <c r="U18" s="154">
        <f t="shared" si="5"/>
        <v>0.36363636363636365</v>
      </c>
      <c r="V18" s="154">
        <f t="shared" si="5"/>
        <v>0.63636363636363635</v>
      </c>
      <c r="W18" s="170">
        <f>SUM(P18:V18)</f>
        <v>1</v>
      </c>
    </row>
    <row r="19" spans="1:30">
      <c r="A19" s="39">
        <v>16</v>
      </c>
      <c r="B19" s="161" t="s">
        <v>25</v>
      </c>
      <c r="C19" s="174">
        <v>1</v>
      </c>
      <c r="D19" s="179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  <c r="O19" s="144" t="s">
        <v>196</v>
      </c>
      <c r="P19" s="154">
        <f t="shared" ref="P19:V19" si="6">+P6/$W6</f>
        <v>0</v>
      </c>
      <c r="Q19" s="154">
        <f t="shared" si="6"/>
        <v>0</v>
      </c>
      <c r="R19" s="154">
        <f t="shared" si="6"/>
        <v>0</v>
      </c>
      <c r="S19" s="154">
        <f t="shared" si="6"/>
        <v>0</v>
      </c>
      <c r="T19" s="154">
        <f t="shared" si="6"/>
        <v>0</v>
      </c>
      <c r="U19" s="154">
        <f t="shared" si="6"/>
        <v>0.45454545454545453</v>
      </c>
      <c r="V19" s="154">
        <f t="shared" si="6"/>
        <v>0.54545454545454541</v>
      </c>
      <c r="W19" s="170">
        <f t="shared" ref="W19:W25" si="7">SUM(P19:V19)</f>
        <v>1</v>
      </c>
      <c r="X19" s="170"/>
    </row>
    <row r="20" spans="1:30">
      <c r="A20" s="39">
        <v>17</v>
      </c>
      <c r="B20" s="161" t="s">
        <v>170</v>
      </c>
      <c r="C20" s="174">
        <v>1</v>
      </c>
      <c r="D20" s="179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ref="P20:V20" si="8">+P7/$W7</f>
        <v>0</v>
      </c>
      <c r="Q20" s="154">
        <f t="shared" si="8"/>
        <v>0</v>
      </c>
      <c r="R20" s="154">
        <f t="shared" si="8"/>
        <v>0</v>
      </c>
      <c r="S20" s="154">
        <f t="shared" si="8"/>
        <v>0</v>
      </c>
      <c r="T20" s="154">
        <f t="shared" si="8"/>
        <v>3.0303030303030304E-2</v>
      </c>
      <c r="U20" s="154">
        <f t="shared" si="8"/>
        <v>9.0909090909090912E-2</v>
      </c>
      <c r="V20" s="154">
        <f t="shared" si="8"/>
        <v>0.87878787878787878</v>
      </c>
      <c r="W20" s="170">
        <f t="shared" si="7"/>
        <v>1</v>
      </c>
      <c r="X20" s="170"/>
    </row>
    <row r="21" spans="1:30">
      <c r="A21" s="39">
        <v>18</v>
      </c>
      <c r="B21" s="161" t="s">
        <v>70</v>
      </c>
      <c r="C21" s="174">
        <v>1</v>
      </c>
      <c r="D21" s="179"/>
      <c r="E21" s="17">
        <v>7</v>
      </c>
      <c r="F21" s="8">
        <v>7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7</v>
      </c>
      <c r="O21" s="144" t="s">
        <v>199</v>
      </c>
      <c r="P21" s="154">
        <f t="shared" ref="P21:V21" si="9">+P8/$W8</f>
        <v>0</v>
      </c>
      <c r="Q21" s="154">
        <f t="shared" si="9"/>
        <v>0</v>
      </c>
      <c r="R21" s="154">
        <f t="shared" si="9"/>
        <v>0</v>
      </c>
      <c r="S21" s="154">
        <f t="shared" si="9"/>
        <v>0</v>
      </c>
      <c r="T21" s="154">
        <f t="shared" si="9"/>
        <v>0</v>
      </c>
      <c r="U21" s="154">
        <f t="shared" si="9"/>
        <v>0.96969696969696972</v>
      </c>
      <c r="V21" s="154">
        <f t="shared" si="9"/>
        <v>3.0303030303030304E-2</v>
      </c>
      <c r="W21" s="170">
        <f t="shared" si="7"/>
        <v>1</v>
      </c>
      <c r="X21" s="170"/>
    </row>
    <row r="22" spans="1:30">
      <c r="A22" s="39">
        <v>19</v>
      </c>
      <c r="B22" s="161" t="s">
        <v>71</v>
      </c>
      <c r="C22" s="174">
        <v>1</v>
      </c>
      <c r="D22" s="179"/>
      <c r="E22" s="17">
        <v>7</v>
      </c>
      <c r="F22" s="8">
        <v>7</v>
      </c>
      <c r="G22" s="8">
        <v>7</v>
      </c>
      <c r="H22" s="8">
        <v>6</v>
      </c>
      <c r="I22" s="8">
        <v>6</v>
      </c>
      <c r="J22" s="8">
        <v>7</v>
      </c>
      <c r="K22" s="8">
        <v>7</v>
      </c>
      <c r="L22" s="8">
        <v>7</v>
      </c>
      <c r="O22" s="144" t="s">
        <v>200</v>
      </c>
      <c r="P22" s="154">
        <f t="shared" ref="P22:V22" si="10">+P9/$W9</f>
        <v>0</v>
      </c>
      <c r="Q22" s="154">
        <f t="shared" si="10"/>
        <v>0</v>
      </c>
      <c r="R22" s="154">
        <f t="shared" si="10"/>
        <v>0</v>
      </c>
      <c r="S22" s="154">
        <f t="shared" si="10"/>
        <v>0</v>
      </c>
      <c r="T22" s="154">
        <f t="shared" si="10"/>
        <v>0</v>
      </c>
      <c r="U22" s="154">
        <f t="shared" si="10"/>
        <v>0.90909090909090906</v>
      </c>
      <c r="V22" s="154">
        <f t="shared" si="10"/>
        <v>9.0909090909090912E-2</v>
      </c>
      <c r="W22" s="170">
        <f t="shared" si="7"/>
        <v>1</v>
      </c>
      <c r="X22" s="170"/>
    </row>
    <row r="23" spans="1:30">
      <c r="A23" s="76">
        <v>20</v>
      </c>
      <c r="B23" s="165" t="s">
        <v>146</v>
      </c>
      <c r="C23" s="175"/>
      <c r="D23" s="180">
        <v>1</v>
      </c>
      <c r="E23" s="79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O23" s="144" t="s">
        <v>201</v>
      </c>
      <c r="P23" s="154">
        <f t="shared" ref="P23:V23" si="11">+P10/$W10</f>
        <v>0</v>
      </c>
      <c r="Q23" s="154">
        <f t="shared" si="11"/>
        <v>0</v>
      </c>
      <c r="R23" s="154">
        <f t="shared" si="11"/>
        <v>0</v>
      </c>
      <c r="S23" s="154">
        <f t="shared" si="11"/>
        <v>0</v>
      </c>
      <c r="T23" s="154">
        <f t="shared" si="11"/>
        <v>0</v>
      </c>
      <c r="U23" s="154">
        <f t="shared" si="11"/>
        <v>0</v>
      </c>
      <c r="V23" s="154">
        <f t="shared" si="11"/>
        <v>1</v>
      </c>
      <c r="W23" s="170">
        <f t="shared" si="7"/>
        <v>1</v>
      </c>
      <c r="X23" s="170"/>
    </row>
    <row r="24" spans="1:30">
      <c r="A24" s="39">
        <v>21</v>
      </c>
      <c r="B24" s="161" t="s">
        <v>72</v>
      </c>
      <c r="C24" s="174">
        <v>1</v>
      </c>
      <c r="D24" s="179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  <c r="O24" s="144" t="s">
        <v>202</v>
      </c>
      <c r="P24" s="154">
        <f t="shared" ref="P24:V24" si="12">+P11/$W11</f>
        <v>0</v>
      </c>
      <c r="Q24" s="154">
        <f t="shared" si="12"/>
        <v>0</v>
      </c>
      <c r="R24" s="154">
        <f t="shared" si="12"/>
        <v>0</v>
      </c>
      <c r="S24" s="154">
        <f t="shared" si="12"/>
        <v>0</v>
      </c>
      <c r="T24" s="154">
        <f t="shared" si="12"/>
        <v>0</v>
      </c>
      <c r="U24" s="154">
        <f t="shared" si="12"/>
        <v>0</v>
      </c>
      <c r="V24" s="154">
        <f t="shared" si="12"/>
        <v>1</v>
      </c>
      <c r="W24" s="170">
        <f t="shared" si="7"/>
        <v>1</v>
      </c>
      <c r="X24" s="170"/>
    </row>
    <row r="25" spans="1:30">
      <c r="A25" s="76">
        <v>22</v>
      </c>
      <c r="B25" s="165" t="s">
        <v>115</v>
      </c>
      <c r="C25" s="175"/>
      <c r="D25" s="180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O25" s="144" t="s">
        <v>203</v>
      </c>
      <c r="P25" s="154">
        <f t="shared" ref="P25:V25" si="13">+P12/$W12</f>
        <v>0</v>
      </c>
      <c r="Q25" s="154">
        <f t="shared" si="13"/>
        <v>0</v>
      </c>
      <c r="R25" s="154">
        <f t="shared" si="13"/>
        <v>0</v>
      </c>
      <c r="S25" s="154">
        <f t="shared" si="13"/>
        <v>0</v>
      </c>
      <c r="T25" s="154">
        <f t="shared" si="13"/>
        <v>0</v>
      </c>
      <c r="U25" s="154">
        <f t="shared" si="13"/>
        <v>0.39393939393939392</v>
      </c>
      <c r="V25" s="154">
        <f t="shared" si="13"/>
        <v>0.60606060606060608</v>
      </c>
      <c r="W25" s="170">
        <f t="shared" si="7"/>
        <v>1</v>
      </c>
      <c r="X25" s="170"/>
    </row>
    <row r="26" spans="1:30">
      <c r="A26" s="81">
        <v>23</v>
      </c>
      <c r="B26" s="165" t="s">
        <v>228</v>
      </c>
      <c r="C26" s="175"/>
      <c r="D26" s="180">
        <v>1</v>
      </c>
      <c r="E26" s="79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O26" s="166"/>
      <c r="P26" s="166"/>
      <c r="Q26" s="169"/>
      <c r="R26" s="166"/>
      <c r="S26" s="166"/>
      <c r="T26" s="166"/>
      <c r="U26" s="166"/>
      <c r="V26" s="166"/>
      <c r="W26" s="139"/>
    </row>
    <row r="27" spans="1:30">
      <c r="A27" s="39">
        <v>24</v>
      </c>
      <c r="B27" s="161" t="s">
        <v>104</v>
      </c>
      <c r="C27" s="174">
        <v>1</v>
      </c>
      <c r="D27" s="179"/>
      <c r="E27" s="17">
        <v>7</v>
      </c>
      <c r="F27" s="8">
        <v>6</v>
      </c>
      <c r="G27" s="8">
        <v>6</v>
      </c>
      <c r="H27" s="8">
        <v>6</v>
      </c>
      <c r="I27" s="8">
        <v>6</v>
      </c>
      <c r="J27" s="8">
        <v>7</v>
      </c>
      <c r="K27" s="8">
        <v>7</v>
      </c>
      <c r="L27" s="8">
        <v>7</v>
      </c>
      <c r="P27" s="139"/>
      <c r="Q27" s="139"/>
      <c r="R27" s="139"/>
      <c r="S27" s="139"/>
      <c r="T27" s="139"/>
    </row>
    <row r="28" spans="1:30">
      <c r="A28" s="39">
        <v>25</v>
      </c>
      <c r="B28" s="161" t="s">
        <v>33</v>
      </c>
      <c r="C28" s="174">
        <v>1</v>
      </c>
      <c r="D28" s="179"/>
      <c r="E28" s="17">
        <v>7</v>
      </c>
      <c r="F28" s="8">
        <v>6</v>
      </c>
      <c r="G28" s="8">
        <v>6</v>
      </c>
      <c r="H28" s="8">
        <v>6</v>
      </c>
      <c r="I28" s="8">
        <v>6</v>
      </c>
      <c r="J28" s="8">
        <v>7</v>
      </c>
      <c r="K28" s="8">
        <v>7</v>
      </c>
      <c r="L28" s="8">
        <v>7</v>
      </c>
    </row>
    <row r="29" spans="1:30">
      <c r="A29" s="76">
        <v>26</v>
      </c>
      <c r="B29" s="165" t="s">
        <v>173</v>
      </c>
      <c r="C29" s="175"/>
      <c r="D29" s="180">
        <v>1</v>
      </c>
      <c r="E29" s="79">
        <v>0</v>
      </c>
      <c r="F29" s="80">
        <v>0</v>
      </c>
      <c r="G29" s="80">
        <v>0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</row>
    <row r="30" spans="1:30">
      <c r="A30" s="76">
        <v>27</v>
      </c>
      <c r="B30" s="165" t="s">
        <v>132</v>
      </c>
      <c r="C30" s="175"/>
      <c r="D30" s="180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P30" s="139"/>
      <c r="Q30" s="139"/>
      <c r="R30" s="139"/>
      <c r="S30" s="139"/>
      <c r="T30" s="139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39">
        <v>28</v>
      </c>
      <c r="B31" s="161" t="s">
        <v>147</v>
      </c>
      <c r="C31" s="174">
        <v>1</v>
      </c>
      <c r="D31" s="179"/>
      <c r="E31" s="17">
        <v>7</v>
      </c>
      <c r="F31" s="8">
        <v>7</v>
      </c>
      <c r="G31" s="8">
        <v>7</v>
      </c>
      <c r="H31" s="8">
        <v>6</v>
      </c>
      <c r="I31" s="8">
        <v>6</v>
      </c>
      <c r="J31" s="8">
        <v>7</v>
      </c>
      <c r="K31" s="8">
        <v>7</v>
      </c>
      <c r="L31" s="8">
        <v>7</v>
      </c>
      <c r="P31" s="139"/>
      <c r="Q31" s="139"/>
      <c r="R31" s="139"/>
      <c r="S31" s="139"/>
      <c r="T31" s="139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39">
        <v>29</v>
      </c>
      <c r="B32" s="161" t="s">
        <v>116</v>
      </c>
      <c r="C32" s="174">
        <v>1</v>
      </c>
      <c r="D32" s="179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  <c r="P32" s="139"/>
      <c r="Q32" s="139"/>
      <c r="R32" s="139"/>
      <c r="S32" s="139"/>
      <c r="T32" s="139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39">
        <v>30</v>
      </c>
      <c r="B33" s="161" t="s">
        <v>117</v>
      </c>
      <c r="C33" s="174">
        <v>1</v>
      </c>
      <c r="D33" s="179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P33" s="139"/>
      <c r="Q33" s="139"/>
      <c r="R33" s="139"/>
      <c r="S33" s="139"/>
      <c r="T33" s="139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39">
        <v>31</v>
      </c>
      <c r="B34" s="161" t="s">
        <v>191</v>
      </c>
      <c r="C34" s="174">
        <v>1</v>
      </c>
      <c r="D34" s="179"/>
      <c r="E34" s="17">
        <v>7</v>
      </c>
      <c r="F34" s="8">
        <v>7</v>
      </c>
      <c r="G34" s="8">
        <v>7</v>
      </c>
      <c r="H34" s="8">
        <v>6</v>
      </c>
      <c r="I34" s="8">
        <v>6</v>
      </c>
      <c r="J34" s="8">
        <v>7</v>
      </c>
      <c r="K34" s="8">
        <v>7</v>
      </c>
      <c r="L34" s="8">
        <v>7</v>
      </c>
      <c r="P34" s="139"/>
      <c r="Q34" s="139"/>
      <c r="R34" s="139"/>
      <c r="S34" s="139"/>
      <c r="T34" s="139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76">
        <v>32</v>
      </c>
      <c r="B35" s="165" t="s">
        <v>218</v>
      </c>
      <c r="C35" s="175"/>
      <c r="D35" s="180">
        <v>1</v>
      </c>
      <c r="E35" s="79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>
        <v>0</v>
      </c>
      <c r="L35" s="80">
        <v>0</v>
      </c>
      <c r="P35" s="139"/>
      <c r="Q35" s="139"/>
      <c r="R35" s="139"/>
      <c r="S35" s="139"/>
      <c r="T35" s="139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38">
        <v>33</v>
      </c>
      <c r="B36" s="161" t="s">
        <v>37</v>
      </c>
      <c r="C36" s="174">
        <v>1</v>
      </c>
      <c r="D36" s="179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  <c r="P36" s="139"/>
      <c r="Q36" s="139"/>
      <c r="R36" s="139"/>
      <c r="S36" s="139"/>
      <c r="T36" s="139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39">
        <v>34</v>
      </c>
      <c r="B37" s="161" t="s">
        <v>219</v>
      </c>
      <c r="C37" s="174">
        <v>1</v>
      </c>
      <c r="D37" s="179"/>
      <c r="E37" s="17">
        <v>6</v>
      </c>
      <c r="F37" s="8">
        <v>6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6</v>
      </c>
      <c r="P37" s="139"/>
      <c r="Q37" s="139"/>
      <c r="R37" s="139"/>
      <c r="S37" s="139"/>
      <c r="T37" s="139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39">
        <v>35</v>
      </c>
      <c r="B38" s="161" t="s">
        <v>76</v>
      </c>
      <c r="C38" s="174">
        <v>1</v>
      </c>
      <c r="D38" s="179"/>
      <c r="E38" s="17">
        <v>7</v>
      </c>
      <c r="F38" s="8">
        <v>7</v>
      </c>
      <c r="G38" s="8">
        <v>7</v>
      </c>
      <c r="H38" s="8">
        <v>6</v>
      </c>
      <c r="I38" s="8">
        <v>6</v>
      </c>
      <c r="J38" s="8">
        <v>7</v>
      </c>
      <c r="K38" s="8">
        <v>7</v>
      </c>
      <c r="L38" s="8">
        <v>7</v>
      </c>
      <c r="P38" s="139"/>
      <c r="Q38" s="139"/>
      <c r="R38" s="139"/>
      <c r="S38" s="139"/>
      <c r="T38" s="139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76">
        <v>36</v>
      </c>
      <c r="B39" s="165" t="s">
        <v>182</v>
      </c>
      <c r="C39" s="175"/>
      <c r="D39" s="180">
        <v>1</v>
      </c>
      <c r="E39" s="79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0">
        <v>0</v>
      </c>
      <c r="P39" s="139"/>
      <c r="Q39" s="139"/>
      <c r="R39" s="139"/>
      <c r="S39" s="139"/>
      <c r="T39" s="139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39">
        <v>37</v>
      </c>
      <c r="B40" s="171" t="s">
        <v>38</v>
      </c>
      <c r="C40" s="176">
        <v>1</v>
      </c>
      <c r="D40" s="181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9"/>
      <c r="Q40" s="139"/>
      <c r="R40" s="139"/>
      <c r="S40" s="139"/>
      <c r="T40" s="13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39">
        <v>38</v>
      </c>
      <c r="B41" s="161" t="s">
        <v>77</v>
      </c>
      <c r="C41" s="174">
        <v>1</v>
      </c>
      <c r="D41" s="179"/>
      <c r="E41" s="17">
        <v>7</v>
      </c>
      <c r="F41" s="8">
        <v>7</v>
      </c>
      <c r="G41" s="8">
        <v>5</v>
      </c>
      <c r="H41" s="8">
        <v>6</v>
      </c>
      <c r="I41" s="8">
        <v>7</v>
      </c>
      <c r="J41" s="8">
        <v>7</v>
      </c>
      <c r="K41" s="8">
        <v>7</v>
      </c>
      <c r="L41" s="8">
        <v>7</v>
      </c>
      <c r="P41" s="139"/>
      <c r="Q41" s="139"/>
      <c r="R41" s="139"/>
      <c r="S41" s="139"/>
      <c r="T41" s="139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39">
        <v>39</v>
      </c>
      <c r="B42" s="161" t="s">
        <v>183</v>
      </c>
      <c r="C42" s="174">
        <v>1</v>
      </c>
      <c r="D42" s="179"/>
      <c r="E42" s="17">
        <v>7</v>
      </c>
      <c r="F42" s="8">
        <v>7</v>
      </c>
      <c r="G42" s="8">
        <v>7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30">
      <c r="A43" s="76">
        <v>40</v>
      </c>
      <c r="B43" s="165" t="s">
        <v>119</v>
      </c>
      <c r="C43" s="175"/>
      <c r="D43" s="180">
        <v>1</v>
      </c>
      <c r="E43" s="79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>
        <v>0</v>
      </c>
      <c r="L43" s="80">
        <v>0</v>
      </c>
    </row>
    <row r="44" spans="1:30">
      <c r="A44" s="39">
        <v>41</v>
      </c>
      <c r="B44" s="161" t="s">
        <v>229</v>
      </c>
      <c r="C44" s="174">
        <v>1</v>
      </c>
      <c r="D44" s="179"/>
      <c r="E44" s="17">
        <v>6</v>
      </c>
      <c r="F44" s="8">
        <v>6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6</v>
      </c>
    </row>
    <row r="45" spans="1:30">
      <c r="A45" s="76">
        <v>42</v>
      </c>
      <c r="B45" s="165" t="s">
        <v>184</v>
      </c>
      <c r="C45" s="175"/>
      <c r="D45" s="180">
        <v>1</v>
      </c>
      <c r="E45" s="79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</row>
    <row r="46" spans="1:30">
      <c r="A46" s="39">
        <v>43</v>
      </c>
      <c r="B46" s="161" t="s">
        <v>220</v>
      </c>
      <c r="C46" s="174">
        <v>1</v>
      </c>
      <c r="D46" s="179"/>
      <c r="E46" s="17">
        <v>7</v>
      </c>
      <c r="F46" s="8">
        <v>7</v>
      </c>
      <c r="G46" s="8">
        <v>7</v>
      </c>
      <c r="H46" s="8">
        <v>6</v>
      </c>
      <c r="I46" s="8">
        <v>6</v>
      </c>
      <c r="J46" s="8">
        <v>7</v>
      </c>
      <c r="K46" s="8">
        <v>7</v>
      </c>
      <c r="L46" s="8">
        <v>7</v>
      </c>
    </row>
    <row r="47" spans="1:30">
      <c r="A47" s="76">
        <v>44</v>
      </c>
      <c r="B47" s="165" t="s">
        <v>221</v>
      </c>
      <c r="C47" s="175"/>
      <c r="D47" s="180"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30">
      <c r="A48" s="76">
        <v>45</v>
      </c>
      <c r="B48" s="165" t="s">
        <v>120</v>
      </c>
      <c r="C48" s="175"/>
      <c r="D48" s="180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30">
      <c r="A49" s="39">
        <v>46</v>
      </c>
      <c r="B49" s="161" t="s">
        <v>137</v>
      </c>
      <c r="C49" s="174">
        <v>1</v>
      </c>
      <c r="D49" s="179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30">
      <c r="A50" s="76">
        <v>47</v>
      </c>
      <c r="B50" s="165" t="s">
        <v>44</v>
      </c>
      <c r="C50" s="175"/>
      <c r="D50" s="180">
        <v>1</v>
      </c>
      <c r="E50" s="79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</row>
    <row r="51" spans="1:30">
      <c r="A51" s="38">
        <v>48</v>
      </c>
      <c r="B51" s="161" t="s">
        <v>106</v>
      </c>
      <c r="C51" s="174">
        <v>1</v>
      </c>
      <c r="D51" s="179"/>
      <c r="E51" s="17">
        <v>6</v>
      </c>
      <c r="F51" s="8">
        <v>6</v>
      </c>
      <c r="G51" s="8">
        <v>7</v>
      </c>
      <c r="H51" s="8">
        <v>6</v>
      </c>
      <c r="I51" s="8">
        <v>6</v>
      </c>
      <c r="J51" s="8">
        <v>7</v>
      </c>
      <c r="K51" s="8">
        <v>7</v>
      </c>
      <c r="L51" s="8">
        <v>6</v>
      </c>
    </row>
    <row r="52" spans="1:30">
      <c r="A52" s="39">
        <v>49</v>
      </c>
      <c r="B52" s="161" t="s">
        <v>107</v>
      </c>
      <c r="C52" s="174">
        <v>1</v>
      </c>
      <c r="D52" s="179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30">
      <c r="A53" s="76">
        <v>50</v>
      </c>
      <c r="B53" s="165" t="s">
        <v>185</v>
      </c>
      <c r="C53" s="175"/>
      <c r="D53" s="180">
        <v>1</v>
      </c>
      <c r="E53" s="79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</row>
    <row r="54" spans="1:30">
      <c r="A54" s="30"/>
      <c r="B54" s="4">
        <v>50</v>
      </c>
      <c r="C54" s="4">
        <f>SUM(C4:C53)</f>
        <v>33</v>
      </c>
      <c r="D54" s="4">
        <f>SUM(D4:D53)</f>
        <v>17</v>
      </c>
      <c r="I54" s="1"/>
      <c r="J54" s="1"/>
      <c r="K54" s="139"/>
      <c r="L54" s="138"/>
      <c r="M54" s="138"/>
      <c r="N54" s="138"/>
      <c r="O54" s="167"/>
      <c r="P54" s="168"/>
      <c r="Q54" s="172"/>
      <c r="R54" s="168"/>
      <c r="S54" s="168"/>
      <c r="T54" s="168"/>
      <c r="U54" s="168"/>
      <c r="V54" s="168"/>
      <c r="W54" s="139"/>
    </row>
    <row r="55" spans="1:30">
      <c r="A55" s="29"/>
      <c r="B55" s="30"/>
      <c r="C55" s="45">
        <f>+C54/50</f>
        <v>0.66</v>
      </c>
      <c r="D55" s="45">
        <f>+D54/50</f>
        <v>0.34</v>
      </c>
      <c r="J55" s="1"/>
      <c r="K55" s="1"/>
      <c r="L55" s="139"/>
      <c r="M55" s="138"/>
      <c r="N55" s="173"/>
      <c r="O55" s="138"/>
      <c r="T55" s="139"/>
      <c r="U55" s="139"/>
      <c r="V55" s="139"/>
      <c r="W55" s="139"/>
      <c r="AA55" s="1"/>
      <c r="AB55" s="1"/>
      <c r="AC55" s="1"/>
      <c r="AD55" s="1"/>
    </row>
    <row r="56" spans="1:30">
      <c r="A56" s="29"/>
      <c r="B56" s="30"/>
      <c r="C56" s="29"/>
      <c r="O56" s="138"/>
      <c r="U56" s="139"/>
      <c r="V56" s="139"/>
      <c r="W56" s="139"/>
      <c r="AB56" s="1"/>
      <c r="AC56" s="1"/>
      <c r="AD56" s="1"/>
    </row>
    <row r="57" spans="1:30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30">
      <c r="A58" s="29"/>
      <c r="B58" s="30"/>
      <c r="C58" s="29"/>
      <c r="D58" s="68">
        <v>7</v>
      </c>
      <c r="E58" s="64">
        <v>21</v>
      </c>
      <c r="F58" s="64">
        <v>18</v>
      </c>
      <c r="G58" s="64">
        <v>29</v>
      </c>
      <c r="H58" s="64">
        <v>1</v>
      </c>
      <c r="I58" s="64">
        <v>3</v>
      </c>
      <c r="J58" s="64">
        <v>33</v>
      </c>
      <c r="K58" s="64">
        <v>33</v>
      </c>
      <c r="L58" s="65">
        <v>20</v>
      </c>
    </row>
    <row r="59" spans="1:30">
      <c r="A59" s="29"/>
      <c r="B59" s="30"/>
      <c r="C59" s="29"/>
      <c r="D59" s="69">
        <v>6</v>
      </c>
      <c r="E59" s="4">
        <v>12</v>
      </c>
      <c r="F59" s="4">
        <v>15</v>
      </c>
      <c r="G59" s="4">
        <v>3</v>
      </c>
      <c r="H59" s="4">
        <v>32</v>
      </c>
      <c r="I59" s="4">
        <v>30</v>
      </c>
      <c r="L59" s="66">
        <v>13</v>
      </c>
    </row>
    <row r="60" spans="1:30">
      <c r="A60" s="29"/>
      <c r="B60" s="30"/>
      <c r="C60" s="29"/>
      <c r="D60" s="69">
        <v>5</v>
      </c>
      <c r="G60" s="4">
        <v>1</v>
      </c>
      <c r="L60" s="66"/>
    </row>
    <row r="61" spans="1:30">
      <c r="A61" s="29"/>
      <c r="B61" s="30"/>
      <c r="C61" s="29"/>
      <c r="D61" s="69">
        <v>4</v>
      </c>
      <c r="L61" s="66"/>
    </row>
    <row r="62" spans="1:30">
      <c r="A62" s="29"/>
      <c r="C62" s="1"/>
      <c r="D62" s="69">
        <v>3</v>
      </c>
      <c r="L62" s="66"/>
    </row>
    <row r="63" spans="1:30">
      <c r="C63" s="1"/>
      <c r="D63" s="69">
        <v>2</v>
      </c>
      <c r="L63" s="66"/>
    </row>
    <row r="64" spans="1:30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14">SUM(E58:E64)</f>
        <v>33</v>
      </c>
      <c r="F65" s="4">
        <f t="shared" si="14"/>
        <v>33</v>
      </c>
      <c r="G65" s="4">
        <f t="shared" si="14"/>
        <v>33</v>
      </c>
      <c r="H65" s="4">
        <f t="shared" si="14"/>
        <v>33</v>
      </c>
      <c r="I65" s="4">
        <f t="shared" si="14"/>
        <v>33</v>
      </c>
      <c r="J65" s="4">
        <f t="shared" si="14"/>
        <v>33</v>
      </c>
      <c r="K65" s="4">
        <f t="shared" si="14"/>
        <v>33</v>
      </c>
      <c r="L65" s="4">
        <f t="shared" si="14"/>
        <v>33</v>
      </c>
    </row>
    <row r="66" spans="2:13">
      <c r="C66" s="1"/>
      <c r="D66" s="1"/>
    </row>
    <row r="67" spans="2:13">
      <c r="D67" s="28" t="s">
        <v>59</v>
      </c>
      <c r="E67" s="4">
        <f>$C54*7</f>
        <v>231</v>
      </c>
      <c r="F67" s="4">
        <f t="shared" ref="F67:L67" si="15">$C54*7</f>
        <v>231</v>
      </c>
      <c r="G67" s="4">
        <f t="shared" si="15"/>
        <v>231</v>
      </c>
      <c r="H67" s="4">
        <f t="shared" si="15"/>
        <v>231</v>
      </c>
      <c r="I67" s="4">
        <f t="shared" si="15"/>
        <v>231</v>
      </c>
      <c r="J67" s="4">
        <f t="shared" si="15"/>
        <v>231</v>
      </c>
      <c r="K67" s="4">
        <f t="shared" si="15"/>
        <v>231</v>
      </c>
      <c r="L67" s="4">
        <f t="shared" si="15"/>
        <v>231</v>
      </c>
      <c r="M67" s="1">
        <f>SUM(E67:L67)</f>
        <v>1848</v>
      </c>
    </row>
    <row r="68" spans="2:13" ht="17" thickBot="1">
      <c r="D68" s="28" t="s">
        <v>60</v>
      </c>
      <c r="E68" s="4">
        <f t="shared" ref="E68:L68" si="16">SUM(E4:E53)</f>
        <v>219</v>
      </c>
      <c r="F68" s="4">
        <f t="shared" si="16"/>
        <v>216</v>
      </c>
      <c r="G68" s="4">
        <f t="shared" si="16"/>
        <v>226</v>
      </c>
      <c r="H68" s="4">
        <f t="shared" si="16"/>
        <v>199</v>
      </c>
      <c r="I68" s="4">
        <f t="shared" si="16"/>
        <v>201</v>
      </c>
      <c r="J68" s="4">
        <f t="shared" si="16"/>
        <v>231</v>
      </c>
      <c r="K68" s="4">
        <f t="shared" si="16"/>
        <v>231</v>
      </c>
      <c r="L68" s="4">
        <f t="shared" si="16"/>
        <v>218</v>
      </c>
      <c r="M68" s="1">
        <f>SUM(E68:L68)</f>
        <v>1741</v>
      </c>
    </row>
    <row r="69" spans="2:13" ht="22.5" customHeight="1" thickBot="1">
      <c r="E69" s="45">
        <f t="shared" ref="E69:M69" si="17">+E68/E67</f>
        <v>0.94805194805194803</v>
      </c>
      <c r="F69" s="45">
        <f t="shared" si="17"/>
        <v>0.93506493506493504</v>
      </c>
      <c r="G69" s="45">
        <f t="shared" si="17"/>
        <v>0.97835497835497831</v>
      </c>
      <c r="H69" s="45">
        <f t="shared" si="17"/>
        <v>0.8614718614718615</v>
      </c>
      <c r="I69" s="45">
        <f t="shared" si="17"/>
        <v>0.87012987012987009</v>
      </c>
      <c r="J69" s="45">
        <f t="shared" si="17"/>
        <v>1</v>
      </c>
      <c r="K69" s="45">
        <f t="shared" si="17"/>
        <v>1</v>
      </c>
      <c r="L69" s="45">
        <f t="shared" si="17"/>
        <v>0.94372294372294374</v>
      </c>
      <c r="M69" s="137">
        <f t="shared" si="17"/>
        <v>0.9420995670995671</v>
      </c>
    </row>
    <row r="70" spans="2:13" ht="29.25" customHeight="1"/>
    <row r="71" spans="2:13" ht="31.5" customHeight="1">
      <c r="B71" s="62" t="s">
        <v>63</v>
      </c>
    </row>
    <row r="72" spans="2:13" ht="31.5" customHeight="1">
      <c r="B72" s="62" t="s">
        <v>231</v>
      </c>
    </row>
    <row r="73" spans="2:13" ht="31.5" customHeight="1" thickBot="1">
      <c r="B73" s="63" t="s">
        <v>151</v>
      </c>
    </row>
    <row r="74" spans="2:13" ht="31.5" customHeight="1" thickBot="1">
      <c r="B74" s="63" t="s">
        <v>225</v>
      </c>
      <c r="L74" s="177" t="s">
        <v>92</v>
      </c>
      <c r="M74" s="178"/>
    </row>
    <row r="75" spans="2:13" ht="31.5" customHeight="1"/>
  </sheetData>
  <mergeCells count="2">
    <mergeCell ref="P3:R3"/>
    <mergeCell ref="D57:L57"/>
  </mergeCells>
  <phoneticPr fontId="2" type="noConversion"/>
  <pageMargins left="0.78" right="0.18" top="0.22" bottom="0.17" header="0.5" footer="0.17"/>
  <pageSetup paperSize="9" scale="85" orientation="portrait" r:id="rId1"/>
  <headerFooter alignWithMargins="0"/>
  <rowBreaks count="1" manualBreakCount="1">
    <brk id="55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5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3" sqref="B3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12" width="5.83203125" style="4" customWidth="1"/>
    <col min="13" max="13" width="5.83203125" style="1" customWidth="1"/>
    <col min="14" max="14" width="4.5" style="1" customWidth="1"/>
    <col min="15" max="15" width="36.6640625" style="139" customWidth="1"/>
    <col min="16" max="22" width="5.6640625" style="138" customWidth="1"/>
    <col min="23" max="23" width="5.83203125" style="138" customWidth="1"/>
    <col min="24" max="25" width="5.83203125" style="139" customWidth="1"/>
    <col min="26" max="26" width="3.5" style="139" customWidth="1"/>
    <col min="27" max="27" width="6.1640625" style="139" customWidth="1"/>
    <col min="28" max="30" width="5.83203125" style="139" customWidth="1"/>
    <col min="31" max="16384" width="9" style="1"/>
  </cols>
  <sheetData>
    <row r="1" spans="1:30" ht="20">
      <c r="A1" s="27" t="s">
        <v>223</v>
      </c>
      <c r="O1" s="160" t="str">
        <f>+A1</f>
        <v>Customer Satisfaction Survey 2018 Check List ( By Telephone on 28 July 2018 )</v>
      </c>
    </row>
    <row r="2" spans="1:30">
      <c r="A2" s="5"/>
    </row>
    <row r="3" spans="1:30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  <c r="P3" s="198"/>
      <c r="Q3" s="198"/>
      <c r="R3" s="198"/>
      <c r="S3" s="140"/>
      <c r="T3" s="140"/>
      <c r="U3" s="140"/>
      <c r="V3" s="140"/>
    </row>
    <row r="4" spans="1:30">
      <c r="A4" s="38">
        <v>1</v>
      </c>
      <c r="B4" s="161" t="s">
        <v>1</v>
      </c>
      <c r="C4" s="118">
        <v>1</v>
      </c>
      <c r="D4" s="118"/>
      <c r="E4" s="17">
        <v>6</v>
      </c>
      <c r="F4" s="8">
        <v>6</v>
      </c>
      <c r="G4" s="8">
        <v>7</v>
      </c>
      <c r="H4" s="8">
        <v>6</v>
      </c>
      <c r="I4" s="8">
        <v>6</v>
      </c>
      <c r="J4" s="8">
        <v>7</v>
      </c>
      <c r="K4" s="8">
        <v>7</v>
      </c>
      <c r="L4" s="8">
        <v>6</v>
      </c>
      <c r="O4" s="141" t="s">
        <v>193</v>
      </c>
      <c r="P4" s="142">
        <v>1</v>
      </c>
      <c r="Q4" s="142">
        <v>2</v>
      </c>
      <c r="R4" s="143">
        <v>3</v>
      </c>
      <c r="S4" s="142">
        <v>4</v>
      </c>
      <c r="T4" s="142">
        <v>5</v>
      </c>
      <c r="U4" s="143">
        <v>6</v>
      </c>
      <c r="V4" s="142">
        <v>7</v>
      </c>
      <c r="X4" s="138"/>
      <c r="Y4" s="163" t="s">
        <v>194</v>
      </c>
      <c r="AA4" s="163" t="s">
        <v>195</v>
      </c>
    </row>
    <row r="5" spans="1:30">
      <c r="A5" s="39">
        <v>2</v>
      </c>
      <c r="B5" s="161" t="s">
        <v>143</v>
      </c>
      <c r="C5" s="118">
        <v>1</v>
      </c>
      <c r="D5" s="118"/>
      <c r="E5" s="17">
        <v>7</v>
      </c>
      <c r="F5" s="8">
        <v>7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7</v>
      </c>
      <c r="O5" s="144" t="s">
        <v>196</v>
      </c>
      <c r="P5" s="145">
        <f>+E64</f>
        <v>0</v>
      </c>
      <c r="Q5" s="145">
        <f>+E63</f>
        <v>0</v>
      </c>
      <c r="R5" s="145">
        <f>+E62</f>
        <v>0</v>
      </c>
      <c r="S5" s="145">
        <f>+E61</f>
        <v>0</v>
      </c>
      <c r="T5" s="145">
        <f>+E60</f>
        <v>0</v>
      </c>
      <c r="U5" s="145">
        <f>+E59</f>
        <v>15</v>
      </c>
      <c r="V5" s="145">
        <f>+E58</f>
        <v>24</v>
      </c>
      <c r="W5" s="138">
        <f t="shared" ref="W5:W12" si="0">+P5+Q5+R5+S5+T5+U5+V5</f>
        <v>39</v>
      </c>
      <c r="X5" s="138"/>
      <c r="Y5" s="139">
        <f>+W5*7</f>
        <v>273</v>
      </c>
      <c r="AA5" s="139">
        <f t="shared" ref="AA5:AA12" si="1">+P5*P$4+Q5*Q$4+R5*R$4+S5*S$4+T5*T$4+U5*U$4+V5*V$4</f>
        <v>258</v>
      </c>
    </row>
    <row r="6" spans="1:30">
      <c r="A6" s="39">
        <v>3</v>
      </c>
      <c r="B6" s="161" t="s">
        <v>162</v>
      </c>
      <c r="C6" s="118"/>
      <c r="D6" s="118">
        <v>1</v>
      </c>
      <c r="E6" s="79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>
        <v>0</v>
      </c>
      <c r="L6" s="80">
        <v>0</v>
      </c>
      <c r="O6" s="144" t="s">
        <v>197</v>
      </c>
      <c r="P6" s="145">
        <f>+F64</f>
        <v>0</v>
      </c>
      <c r="Q6" s="145">
        <f>+F63</f>
        <v>0</v>
      </c>
      <c r="R6" s="145">
        <f>+F62</f>
        <v>0</v>
      </c>
      <c r="S6" s="145">
        <f>+F61</f>
        <v>0</v>
      </c>
      <c r="T6" s="145">
        <f>+F60</f>
        <v>0</v>
      </c>
      <c r="U6" s="145">
        <f>+F59</f>
        <v>21</v>
      </c>
      <c r="V6" s="145">
        <f>+F58</f>
        <v>18</v>
      </c>
      <c r="W6" s="138">
        <f t="shared" si="0"/>
        <v>39</v>
      </c>
      <c r="X6" s="138"/>
      <c r="Y6" s="139">
        <f t="shared" ref="Y6:Y12" si="2">+W6*7</f>
        <v>273</v>
      </c>
      <c r="AA6" s="139">
        <f t="shared" si="1"/>
        <v>252</v>
      </c>
    </row>
    <row r="7" spans="1:30">
      <c r="A7" s="38">
        <v>4</v>
      </c>
      <c r="B7" s="161" t="s">
        <v>93</v>
      </c>
      <c r="C7" s="118">
        <v>1</v>
      </c>
      <c r="D7" s="118"/>
      <c r="E7" s="17">
        <v>7</v>
      </c>
      <c r="F7" s="8">
        <v>7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7</v>
      </c>
      <c r="O7" s="144" t="s">
        <v>198</v>
      </c>
      <c r="P7" s="145">
        <f>+G64</f>
        <v>0</v>
      </c>
      <c r="Q7" s="145">
        <f>+G63</f>
        <v>0</v>
      </c>
      <c r="R7" s="145">
        <f>+G62</f>
        <v>0</v>
      </c>
      <c r="S7" s="145">
        <f>+G61</f>
        <v>0</v>
      </c>
      <c r="T7" s="145">
        <f>+G60</f>
        <v>1</v>
      </c>
      <c r="U7" s="145">
        <f>+G59</f>
        <v>6</v>
      </c>
      <c r="V7" s="145">
        <f>+G58</f>
        <v>32</v>
      </c>
      <c r="W7" s="138">
        <f t="shared" si="0"/>
        <v>39</v>
      </c>
      <c r="X7" s="138"/>
      <c r="Y7" s="139">
        <f t="shared" si="2"/>
        <v>273</v>
      </c>
      <c r="AA7" s="139">
        <f t="shared" si="1"/>
        <v>265</v>
      </c>
    </row>
    <row r="8" spans="1:30">
      <c r="A8" s="39">
        <v>5</v>
      </c>
      <c r="B8" s="161" t="s">
        <v>14</v>
      </c>
      <c r="C8" s="118">
        <v>1</v>
      </c>
      <c r="D8" s="118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  <c r="O8" s="144" t="s">
        <v>199</v>
      </c>
      <c r="P8" s="145">
        <f>+H64</f>
        <v>0</v>
      </c>
      <c r="Q8" s="145">
        <f>+H63</f>
        <v>0</v>
      </c>
      <c r="R8" s="145">
        <f>+H62</f>
        <v>0</v>
      </c>
      <c r="S8" s="145">
        <f>+H61</f>
        <v>0</v>
      </c>
      <c r="T8" s="145">
        <f>+H60</f>
        <v>0</v>
      </c>
      <c r="U8" s="145">
        <f>+H59</f>
        <v>38</v>
      </c>
      <c r="V8" s="145">
        <f>+H58</f>
        <v>1</v>
      </c>
      <c r="W8" s="138">
        <f t="shared" si="0"/>
        <v>39</v>
      </c>
      <c r="X8" s="138"/>
      <c r="Y8" s="139">
        <f t="shared" si="2"/>
        <v>273</v>
      </c>
      <c r="AA8" s="139">
        <f t="shared" si="1"/>
        <v>235</v>
      </c>
    </row>
    <row r="9" spans="1:30">
      <c r="A9" s="81">
        <v>6</v>
      </c>
      <c r="B9" s="165" t="s">
        <v>214</v>
      </c>
      <c r="C9" s="121"/>
      <c r="D9" s="121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O9" s="144" t="s">
        <v>200</v>
      </c>
      <c r="P9" s="145">
        <f>+I64</f>
        <v>0</v>
      </c>
      <c r="Q9" s="145">
        <f>+I63</f>
        <v>0</v>
      </c>
      <c r="R9" s="145">
        <f>+I62</f>
        <v>0</v>
      </c>
      <c r="S9" s="145">
        <f>+I61</f>
        <v>0</v>
      </c>
      <c r="T9" s="145">
        <f>+I60</f>
        <v>0</v>
      </c>
      <c r="U9" s="145">
        <f>+I59</f>
        <v>34</v>
      </c>
      <c r="V9" s="145">
        <f>+I58</f>
        <v>5</v>
      </c>
      <c r="W9" s="138">
        <f t="shared" si="0"/>
        <v>39</v>
      </c>
      <c r="X9" s="138"/>
      <c r="Y9" s="139">
        <f t="shared" si="2"/>
        <v>273</v>
      </c>
      <c r="AA9" s="139">
        <f t="shared" si="1"/>
        <v>239</v>
      </c>
    </row>
    <row r="10" spans="1:30">
      <c r="A10" s="39">
        <v>7</v>
      </c>
      <c r="B10" s="161" t="s">
        <v>96</v>
      </c>
      <c r="C10" s="118">
        <v>1</v>
      </c>
      <c r="D10" s="118"/>
      <c r="E10" s="17">
        <v>7</v>
      </c>
      <c r="F10" s="8">
        <v>7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7</v>
      </c>
      <c r="O10" s="144" t="s">
        <v>213</v>
      </c>
      <c r="P10" s="145">
        <f>+J64</f>
        <v>0</v>
      </c>
      <c r="Q10" s="145">
        <f>+J63</f>
        <v>0</v>
      </c>
      <c r="R10" s="145">
        <f>+J62</f>
        <v>0</v>
      </c>
      <c r="S10" s="145">
        <f>+J61</f>
        <v>0</v>
      </c>
      <c r="T10" s="145">
        <f>+J60</f>
        <v>0</v>
      </c>
      <c r="U10" s="145">
        <f>+J59</f>
        <v>0</v>
      </c>
      <c r="V10" s="145">
        <f>+J58</f>
        <v>39</v>
      </c>
      <c r="W10" s="138">
        <f t="shared" si="0"/>
        <v>39</v>
      </c>
      <c r="X10" s="138"/>
      <c r="Y10" s="139">
        <f t="shared" si="2"/>
        <v>273</v>
      </c>
      <c r="AA10" s="139">
        <f t="shared" si="1"/>
        <v>273</v>
      </c>
    </row>
    <row r="11" spans="1:30">
      <c r="A11" s="39">
        <v>8</v>
      </c>
      <c r="B11" s="161" t="s">
        <v>190</v>
      </c>
      <c r="C11" s="118">
        <v>1</v>
      </c>
      <c r="D11" s="118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  <c r="O11" s="144" t="s">
        <v>202</v>
      </c>
      <c r="P11" s="145">
        <f>+K64</f>
        <v>0</v>
      </c>
      <c r="Q11" s="145">
        <f>+K63</f>
        <v>0</v>
      </c>
      <c r="R11" s="145">
        <f>+K62</f>
        <v>0</v>
      </c>
      <c r="S11" s="145">
        <f>+K61</f>
        <v>0</v>
      </c>
      <c r="T11" s="145">
        <f>+K60</f>
        <v>0</v>
      </c>
      <c r="U11" s="145">
        <f>+K59</f>
        <v>0</v>
      </c>
      <c r="V11" s="145">
        <f>+K58</f>
        <v>39</v>
      </c>
      <c r="W11" s="138">
        <f t="shared" si="0"/>
        <v>39</v>
      </c>
      <c r="X11" s="138"/>
      <c r="Y11" s="139">
        <f t="shared" si="2"/>
        <v>273</v>
      </c>
      <c r="AA11" s="139">
        <f t="shared" si="1"/>
        <v>273</v>
      </c>
    </row>
    <row r="12" spans="1:30">
      <c r="A12" s="39">
        <v>9</v>
      </c>
      <c r="B12" s="161" t="s">
        <v>130</v>
      </c>
      <c r="C12" s="118">
        <v>1</v>
      </c>
      <c r="D12" s="118"/>
      <c r="E12" s="17">
        <v>6</v>
      </c>
      <c r="F12" s="8">
        <v>6</v>
      </c>
      <c r="G12" s="8">
        <v>7</v>
      </c>
      <c r="H12" s="8">
        <v>6</v>
      </c>
      <c r="I12" s="8">
        <v>6</v>
      </c>
      <c r="J12" s="8">
        <v>7</v>
      </c>
      <c r="K12" s="8">
        <v>7</v>
      </c>
      <c r="L12" s="8">
        <v>6</v>
      </c>
      <c r="O12" s="144" t="s">
        <v>203</v>
      </c>
      <c r="P12" s="145">
        <f>+L64</f>
        <v>0</v>
      </c>
      <c r="Q12" s="145">
        <f>+L63</f>
        <v>0</v>
      </c>
      <c r="R12" s="145">
        <f>+L62</f>
        <v>0</v>
      </c>
      <c r="S12" s="145">
        <f>+L61</f>
        <v>0</v>
      </c>
      <c r="T12" s="145">
        <f>+L60</f>
        <v>0</v>
      </c>
      <c r="U12" s="145">
        <f>+L59</f>
        <v>16</v>
      </c>
      <c r="V12" s="145">
        <f>+L58</f>
        <v>23</v>
      </c>
      <c r="W12" s="138">
        <f t="shared" si="0"/>
        <v>39</v>
      </c>
      <c r="X12" s="138"/>
      <c r="Y12" s="139">
        <f t="shared" si="2"/>
        <v>273</v>
      </c>
      <c r="AA12" s="139">
        <f t="shared" si="1"/>
        <v>257</v>
      </c>
    </row>
    <row r="13" spans="1:30" ht="17" thickBot="1">
      <c r="A13" s="81">
        <v>10</v>
      </c>
      <c r="B13" s="165" t="s">
        <v>215</v>
      </c>
      <c r="C13" s="121"/>
      <c r="D13" s="121">
        <v>1</v>
      </c>
      <c r="E13" s="79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O13" s="146" t="s">
        <v>204</v>
      </c>
      <c r="P13" s="138">
        <f t="shared" ref="P13:W13" si="3">SUM(P9:P12)</f>
        <v>0</v>
      </c>
      <c r="Q13" s="138">
        <f t="shared" si="3"/>
        <v>0</v>
      </c>
      <c r="R13" s="138">
        <f t="shared" si="3"/>
        <v>0</v>
      </c>
      <c r="S13" s="138">
        <f t="shared" si="3"/>
        <v>0</v>
      </c>
      <c r="T13" s="138">
        <f t="shared" si="3"/>
        <v>0</v>
      </c>
      <c r="U13" s="138">
        <f t="shared" si="3"/>
        <v>50</v>
      </c>
      <c r="V13" s="138">
        <f t="shared" si="3"/>
        <v>106</v>
      </c>
      <c r="W13" s="147">
        <f t="shared" si="3"/>
        <v>156</v>
      </c>
      <c r="X13" s="138"/>
      <c r="Y13" s="148">
        <f>SUM(Y5:Y12)</f>
        <v>2184</v>
      </c>
      <c r="AA13" s="148">
        <f>SUM(AA5:AA12)</f>
        <v>2052</v>
      </c>
    </row>
    <row r="14" spans="1:30" ht="17" thickTop="1">
      <c r="A14" s="38">
        <v>11</v>
      </c>
      <c r="B14" s="161" t="s">
        <v>69</v>
      </c>
      <c r="C14" s="118">
        <v>1</v>
      </c>
      <c r="D14" s="118"/>
      <c r="E14" s="17">
        <v>6</v>
      </c>
      <c r="F14" s="8">
        <v>6</v>
      </c>
      <c r="G14" s="8">
        <v>7</v>
      </c>
      <c r="H14" s="8">
        <v>6</v>
      </c>
      <c r="I14" s="8">
        <v>6</v>
      </c>
      <c r="J14" s="8">
        <v>7</v>
      </c>
      <c r="K14" s="8">
        <v>7</v>
      </c>
      <c r="L14" s="8">
        <v>6</v>
      </c>
    </row>
    <row r="15" spans="1:30">
      <c r="A15" s="39">
        <v>12</v>
      </c>
      <c r="B15" s="161" t="s">
        <v>22</v>
      </c>
      <c r="C15" s="118">
        <v>1</v>
      </c>
      <c r="D15" s="118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  <c r="O15"/>
      <c r="P15" s="162">
        <f t="shared" ref="P15:W15" si="4">+P13/$W$13</f>
        <v>0</v>
      </c>
      <c r="Q15" s="162">
        <f t="shared" si="4"/>
        <v>0</v>
      </c>
      <c r="R15" s="162">
        <f t="shared" si="4"/>
        <v>0</v>
      </c>
      <c r="S15" s="162">
        <f t="shared" si="4"/>
        <v>0</v>
      </c>
      <c r="T15" s="162">
        <f t="shared" si="4"/>
        <v>0</v>
      </c>
      <c r="U15" s="162">
        <f t="shared" si="4"/>
        <v>0.32051282051282054</v>
      </c>
      <c r="V15" s="162">
        <f t="shared" si="4"/>
        <v>0.67948717948717952</v>
      </c>
      <c r="W15" s="149">
        <f t="shared" si="4"/>
        <v>1</v>
      </c>
      <c r="X15"/>
      <c r="Y15" s="150"/>
      <c r="Z15" s="151" t="s">
        <v>205</v>
      </c>
      <c r="AA15" s="152">
        <f>+AA13/Y13*100</f>
        <v>93.956043956043956</v>
      </c>
      <c r="AB15"/>
      <c r="AC15"/>
      <c r="AD15"/>
    </row>
    <row r="16" spans="1:30">
      <c r="A16" s="38">
        <v>13</v>
      </c>
      <c r="B16" s="161" t="s">
        <v>167</v>
      </c>
      <c r="C16" s="118">
        <v>1</v>
      </c>
      <c r="D16" s="118"/>
      <c r="E16" s="17">
        <v>6</v>
      </c>
      <c r="F16" s="8">
        <v>6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6</v>
      </c>
    </row>
    <row r="17" spans="1:23">
      <c r="A17" s="38">
        <v>14</v>
      </c>
      <c r="B17" s="161" t="s">
        <v>24</v>
      </c>
      <c r="C17" s="118">
        <v>1</v>
      </c>
      <c r="D17" s="118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  <c r="O17" s="141" t="s">
        <v>206</v>
      </c>
      <c r="P17" s="141">
        <v>1</v>
      </c>
      <c r="Q17" s="141">
        <v>2</v>
      </c>
      <c r="R17" s="153">
        <v>3</v>
      </c>
      <c r="S17" s="141">
        <v>4</v>
      </c>
      <c r="T17" s="141">
        <v>5</v>
      </c>
      <c r="U17" s="153">
        <v>6</v>
      </c>
      <c r="V17" s="141">
        <v>7</v>
      </c>
      <c r="W17" s="139"/>
    </row>
    <row r="18" spans="1:23">
      <c r="A18" s="76">
        <v>15</v>
      </c>
      <c r="B18" s="165" t="s">
        <v>168</v>
      </c>
      <c r="C18" s="121"/>
      <c r="D18" s="121">
        <v>1</v>
      </c>
      <c r="E18" s="79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O18" s="144" t="s">
        <v>196</v>
      </c>
      <c r="P18" s="154">
        <f t="shared" ref="P18:V20" si="5">+P5/$W5</f>
        <v>0</v>
      </c>
      <c r="Q18" s="154">
        <f t="shared" si="5"/>
        <v>0</v>
      </c>
      <c r="R18" s="154">
        <f t="shared" si="5"/>
        <v>0</v>
      </c>
      <c r="S18" s="154">
        <f t="shared" si="5"/>
        <v>0</v>
      </c>
      <c r="T18" s="154">
        <f t="shared" si="5"/>
        <v>0</v>
      </c>
      <c r="U18" s="154">
        <f t="shared" si="5"/>
        <v>0.38461538461538464</v>
      </c>
      <c r="V18" s="154">
        <f t="shared" si="5"/>
        <v>0.61538461538461542</v>
      </c>
      <c r="W18" s="139"/>
    </row>
    <row r="19" spans="1:23">
      <c r="A19" s="39">
        <v>16</v>
      </c>
      <c r="B19" s="161" t="s">
        <v>25</v>
      </c>
      <c r="C19" s="118">
        <v>1</v>
      </c>
      <c r="D19" s="118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  <c r="O19" s="144" t="s">
        <v>197</v>
      </c>
      <c r="P19" s="154">
        <f t="shared" si="5"/>
        <v>0</v>
      </c>
      <c r="Q19" s="154">
        <f t="shared" si="5"/>
        <v>0</v>
      </c>
      <c r="R19" s="154">
        <f t="shared" si="5"/>
        <v>0</v>
      </c>
      <c r="S19" s="154">
        <f t="shared" si="5"/>
        <v>0</v>
      </c>
      <c r="T19" s="154">
        <f t="shared" si="5"/>
        <v>0</v>
      </c>
      <c r="U19" s="154">
        <f t="shared" si="5"/>
        <v>0.53846153846153844</v>
      </c>
      <c r="V19" s="154">
        <f t="shared" si="5"/>
        <v>0.46153846153846156</v>
      </c>
      <c r="W19" s="139"/>
    </row>
    <row r="20" spans="1:23">
      <c r="A20" s="39">
        <v>17</v>
      </c>
      <c r="B20" s="161" t="s">
        <v>113</v>
      </c>
      <c r="C20" s="118">
        <v>1</v>
      </c>
      <c r="D20" s="118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  <c r="O20" s="144" t="s">
        <v>198</v>
      </c>
      <c r="P20" s="154">
        <f t="shared" si="5"/>
        <v>0</v>
      </c>
      <c r="Q20" s="154">
        <f t="shared" si="5"/>
        <v>0</v>
      </c>
      <c r="R20" s="154">
        <f t="shared" si="5"/>
        <v>0</v>
      </c>
      <c r="S20" s="154">
        <f t="shared" si="5"/>
        <v>0</v>
      </c>
      <c r="T20" s="154">
        <f t="shared" si="5"/>
        <v>2.564102564102564E-2</v>
      </c>
      <c r="U20" s="154">
        <f t="shared" si="5"/>
        <v>0.15384615384615385</v>
      </c>
      <c r="V20" s="154">
        <f t="shared" si="5"/>
        <v>0.82051282051282048</v>
      </c>
      <c r="W20" s="139"/>
    </row>
    <row r="21" spans="1:23">
      <c r="A21" s="39">
        <v>18</v>
      </c>
      <c r="B21" s="161" t="s">
        <v>170</v>
      </c>
      <c r="C21" s="118">
        <v>1</v>
      </c>
      <c r="D21" s="118"/>
      <c r="E21" s="17">
        <v>7</v>
      </c>
      <c r="F21" s="8">
        <v>7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7</v>
      </c>
      <c r="O21" s="144" t="s">
        <v>199</v>
      </c>
      <c r="P21" s="154">
        <f t="shared" ref="P21:V21" si="6">+P8/$W8</f>
        <v>0</v>
      </c>
      <c r="Q21" s="154">
        <f t="shared" si="6"/>
        <v>0</v>
      </c>
      <c r="R21" s="154">
        <f t="shared" si="6"/>
        <v>0</v>
      </c>
      <c r="S21" s="154">
        <f t="shared" si="6"/>
        <v>0</v>
      </c>
      <c r="T21" s="154">
        <f t="shared" si="6"/>
        <v>0</v>
      </c>
      <c r="U21" s="154">
        <f t="shared" si="6"/>
        <v>0.97435897435897434</v>
      </c>
      <c r="V21" s="154">
        <f t="shared" si="6"/>
        <v>2.564102564102564E-2</v>
      </c>
      <c r="W21" s="139"/>
    </row>
    <row r="22" spans="1:23">
      <c r="A22" s="76">
        <v>19</v>
      </c>
      <c r="B22" s="165" t="s">
        <v>70</v>
      </c>
      <c r="C22" s="121"/>
      <c r="D22" s="121">
        <v>1</v>
      </c>
      <c r="E22" s="79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O22" s="144" t="s">
        <v>200</v>
      </c>
      <c r="P22" s="154">
        <f t="shared" ref="P22:V22" si="7">+P9/$W9</f>
        <v>0</v>
      </c>
      <c r="Q22" s="154">
        <f t="shared" si="7"/>
        <v>0</v>
      </c>
      <c r="R22" s="154">
        <f t="shared" si="7"/>
        <v>0</v>
      </c>
      <c r="S22" s="154">
        <f t="shared" si="7"/>
        <v>0</v>
      </c>
      <c r="T22" s="154">
        <f t="shared" si="7"/>
        <v>0</v>
      </c>
      <c r="U22" s="154">
        <f t="shared" si="7"/>
        <v>0.87179487179487181</v>
      </c>
      <c r="V22" s="154">
        <f t="shared" si="7"/>
        <v>0.12820512820512819</v>
      </c>
      <c r="W22" s="139"/>
    </row>
    <row r="23" spans="1:23">
      <c r="A23" s="39">
        <v>20</v>
      </c>
      <c r="B23" s="161" t="s">
        <v>71</v>
      </c>
      <c r="C23" s="118">
        <v>1</v>
      </c>
      <c r="D23" s="118"/>
      <c r="E23" s="17">
        <v>7</v>
      </c>
      <c r="F23" s="8">
        <v>6</v>
      </c>
      <c r="G23" s="8">
        <v>6</v>
      </c>
      <c r="H23" s="8">
        <v>6</v>
      </c>
      <c r="I23" s="8">
        <v>6</v>
      </c>
      <c r="J23" s="8">
        <v>7</v>
      </c>
      <c r="K23" s="8">
        <v>7</v>
      </c>
      <c r="L23" s="8">
        <v>7</v>
      </c>
      <c r="O23" s="144" t="s">
        <v>201</v>
      </c>
      <c r="P23" s="154">
        <f t="shared" ref="P23:V23" si="8">+P10/$W10</f>
        <v>0</v>
      </c>
      <c r="Q23" s="154">
        <f t="shared" si="8"/>
        <v>0</v>
      </c>
      <c r="R23" s="154">
        <f t="shared" si="8"/>
        <v>0</v>
      </c>
      <c r="S23" s="154">
        <f t="shared" si="8"/>
        <v>0</v>
      </c>
      <c r="T23" s="154">
        <f t="shared" si="8"/>
        <v>0</v>
      </c>
      <c r="U23" s="154">
        <f t="shared" si="8"/>
        <v>0</v>
      </c>
      <c r="V23" s="154">
        <f t="shared" si="8"/>
        <v>1</v>
      </c>
      <c r="W23" s="139"/>
    </row>
    <row r="24" spans="1:23">
      <c r="A24" s="39">
        <v>21</v>
      </c>
      <c r="B24" s="161" t="s">
        <v>73</v>
      </c>
      <c r="C24" s="118">
        <v>1</v>
      </c>
      <c r="D24" s="118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  <c r="O24" s="144" t="s">
        <v>202</v>
      </c>
      <c r="P24" s="154">
        <f t="shared" ref="P24:V24" si="9">+P11/$W11</f>
        <v>0</v>
      </c>
      <c r="Q24" s="154">
        <f t="shared" si="9"/>
        <v>0</v>
      </c>
      <c r="R24" s="154">
        <f t="shared" si="9"/>
        <v>0</v>
      </c>
      <c r="S24" s="154">
        <f t="shared" si="9"/>
        <v>0</v>
      </c>
      <c r="T24" s="154">
        <f t="shared" si="9"/>
        <v>0</v>
      </c>
      <c r="U24" s="154">
        <f t="shared" si="9"/>
        <v>0</v>
      </c>
      <c r="V24" s="154">
        <f t="shared" si="9"/>
        <v>1</v>
      </c>
      <c r="W24" s="139"/>
    </row>
    <row r="25" spans="1:23">
      <c r="A25" s="81">
        <v>22</v>
      </c>
      <c r="B25" s="165" t="s">
        <v>216</v>
      </c>
      <c r="C25" s="121"/>
      <c r="D25" s="121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O25" s="144" t="s">
        <v>203</v>
      </c>
      <c r="P25" s="154">
        <f t="shared" ref="P25:V25" si="10">+P12/$W12</f>
        <v>0</v>
      </c>
      <c r="Q25" s="154">
        <f t="shared" si="10"/>
        <v>0</v>
      </c>
      <c r="R25" s="154">
        <f t="shared" si="10"/>
        <v>0</v>
      </c>
      <c r="S25" s="154">
        <f t="shared" si="10"/>
        <v>0</v>
      </c>
      <c r="T25" s="154">
        <f t="shared" si="10"/>
        <v>0</v>
      </c>
      <c r="U25" s="154">
        <f t="shared" si="10"/>
        <v>0.41025641025641024</v>
      </c>
      <c r="V25" s="154">
        <f t="shared" si="10"/>
        <v>0.58974358974358976</v>
      </c>
      <c r="W25" s="139"/>
    </row>
    <row r="26" spans="1:23">
      <c r="A26" s="39">
        <v>23</v>
      </c>
      <c r="B26" s="161" t="s">
        <v>104</v>
      </c>
      <c r="C26" s="118">
        <v>1</v>
      </c>
      <c r="D26" s="118"/>
      <c r="E26" s="17">
        <v>7</v>
      </c>
      <c r="F26" s="8">
        <v>7</v>
      </c>
      <c r="G26" s="8">
        <v>7</v>
      </c>
      <c r="H26" s="8">
        <v>6</v>
      </c>
      <c r="I26" s="8">
        <v>6</v>
      </c>
      <c r="J26" s="8">
        <v>7</v>
      </c>
      <c r="K26" s="8">
        <v>7</v>
      </c>
      <c r="L26" s="8">
        <v>7</v>
      </c>
      <c r="P26" s="139"/>
      <c r="Q26" s="155"/>
      <c r="R26" s="139"/>
      <c r="S26" s="139"/>
      <c r="T26" s="139"/>
      <c r="U26" s="139"/>
      <c r="V26" s="139"/>
      <c r="W26" s="139"/>
    </row>
    <row r="27" spans="1:23">
      <c r="A27" s="39">
        <v>24</v>
      </c>
      <c r="B27" s="161" t="s">
        <v>33</v>
      </c>
      <c r="C27" s="118">
        <v>1</v>
      </c>
      <c r="D27" s="118"/>
      <c r="E27" s="17">
        <v>7</v>
      </c>
      <c r="F27" s="8">
        <v>6</v>
      </c>
      <c r="G27" s="8">
        <v>6</v>
      </c>
      <c r="H27" s="8">
        <v>6</v>
      </c>
      <c r="I27" s="8">
        <v>6</v>
      </c>
      <c r="J27" s="8">
        <v>7</v>
      </c>
      <c r="K27" s="8">
        <v>7</v>
      </c>
      <c r="L27" s="8">
        <v>7</v>
      </c>
      <c r="P27" s="139"/>
      <c r="Q27" s="139"/>
      <c r="R27" s="139"/>
      <c r="S27" s="139"/>
      <c r="T27" s="139"/>
    </row>
    <row r="28" spans="1:23">
      <c r="A28" s="39">
        <v>25</v>
      </c>
      <c r="B28" s="161" t="s">
        <v>173</v>
      </c>
      <c r="C28" s="118">
        <v>1</v>
      </c>
      <c r="D28" s="118"/>
      <c r="E28" s="17">
        <v>7</v>
      </c>
      <c r="F28" s="8">
        <v>6</v>
      </c>
      <c r="G28" s="8">
        <v>6</v>
      </c>
      <c r="H28" s="8">
        <v>6</v>
      </c>
      <c r="I28" s="8">
        <v>6</v>
      </c>
      <c r="J28" s="8">
        <v>7</v>
      </c>
      <c r="K28" s="8">
        <v>7</v>
      </c>
      <c r="L28" s="8">
        <v>7</v>
      </c>
    </row>
    <row r="29" spans="1:23">
      <c r="A29" s="39">
        <v>26</v>
      </c>
      <c r="B29" s="161" t="s">
        <v>147</v>
      </c>
      <c r="C29" s="118">
        <v>1</v>
      </c>
      <c r="D29" s="118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23">
      <c r="A30" s="76">
        <v>27</v>
      </c>
      <c r="B30" s="165" t="s">
        <v>116</v>
      </c>
      <c r="C30" s="121"/>
      <c r="D30" s="121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P30" s="156">
        <v>1</v>
      </c>
      <c r="Q30" s="156">
        <v>2</v>
      </c>
      <c r="R30" s="157">
        <v>3</v>
      </c>
      <c r="S30" s="156">
        <v>4</v>
      </c>
      <c r="T30" s="156">
        <v>5</v>
      </c>
      <c r="U30" s="157">
        <v>6</v>
      </c>
      <c r="V30" s="156">
        <v>7</v>
      </c>
    </row>
    <row r="31" spans="1:23">
      <c r="A31" s="76">
        <v>28</v>
      </c>
      <c r="B31" s="165" t="s">
        <v>217</v>
      </c>
      <c r="C31" s="121"/>
      <c r="D31" s="121">
        <v>1</v>
      </c>
      <c r="E31" s="79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>
        <v>0</v>
      </c>
      <c r="L31" s="80">
        <v>0</v>
      </c>
      <c r="O31" s="146" t="s">
        <v>54</v>
      </c>
      <c r="P31" s="158" t="e">
        <f>+#REF!</f>
        <v>#REF!</v>
      </c>
      <c r="Q31" s="158" t="e">
        <f>+#REF!</f>
        <v>#REF!</v>
      </c>
      <c r="R31" s="158" t="e">
        <f>+#REF!</f>
        <v>#REF!</v>
      </c>
      <c r="S31" s="158" t="e">
        <f>+#REF!</f>
        <v>#REF!</v>
      </c>
      <c r="T31" s="158" t="e">
        <f>+#REF!</f>
        <v>#REF!</v>
      </c>
      <c r="U31" s="158" t="e">
        <f>+#REF!</f>
        <v>#REF!</v>
      </c>
      <c r="V31" s="158" t="e">
        <f>+#REF!</f>
        <v>#REF!</v>
      </c>
    </row>
    <row r="32" spans="1:23">
      <c r="A32" s="39">
        <v>29</v>
      </c>
      <c r="B32" s="161" t="s">
        <v>34</v>
      </c>
      <c r="C32" s="118">
        <v>1</v>
      </c>
      <c r="D32" s="118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  <c r="O32" s="146" t="s">
        <v>207</v>
      </c>
      <c r="P32" s="158">
        <f t="shared" ref="P32:V33" si="11">+P19</f>
        <v>0</v>
      </c>
      <c r="Q32" s="158">
        <f t="shared" si="11"/>
        <v>0</v>
      </c>
      <c r="R32" s="158">
        <f t="shared" si="11"/>
        <v>0</v>
      </c>
      <c r="S32" s="158">
        <f t="shared" si="11"/>
        <v>0</v>
      </c>
      <c r="T32" s="158">
        <f t="shared" si="11"/>
        <v>0</v>
      </c>
      <c r="U32" s="158">
        <f t="shared" si="11"/>
        <v>0.53846153846153844</v>
      </c>
      <c r="V32" s="158">
        <f t="shared" si="11"/>
        <v>0.46153846153846156</v>
      </c>
    </row>
    <row r="33" spans="1:22">
      <c r="A33" s="39">
        <v>30</v>
      </c>
      <c r="B33" s="161" t="s">
        <v>191</v>
      </c>
      <c r="C33" s="118">
        <v>1</v>
      </c>
      <c r="D33" s="118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  <c r="O33" s="146" t="s">
        <v>208</v>
      </c>
      <c r="P33" s="158">
        <f t="shared" si="11"/>
        <v>0</v>
      </c>
      <c r="Q33" s="158">
        <f t="shared" si="11"/>
        <v>0</v>
      </c>
      <c r="R33" s="158">
        <f t="shared" si="11"/>
        <v>0</v>
      </c>
      <c r="S33" s="158">
        <f t="shared" si="11"/>
        <v>0</v>
      </c>
      <c r="T33" s="158">
        <f t="shared" si="11"/>
        <v>2.564102564102564E-2</v>
      </c>
      <c r="U33" s="158">
        <f t="shared" si="11"/>
        <v>0.15384615384615385</v>
      </c>
      <c r="V33" s="158">
        <f t="shared" si="11"/>
        <v>0.82051282051282048</v>
      </c>
    </row>
    <row r="34" spans="1:22">
      <c r="A34" s="76">
        <v>31</v>
      </c>
      <c r="B34" s="165" t="s">
        <v>218</v>
      </c>
      <c r="C34" s="121"/>
      <c r="D34" s="121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  <c r="O34" s="146" t="s">
        <v>209</v>
      </c>
      <c r="P34" s="158" t="e">
        <f>+#REF!</f>
        <v>#REF!</v>
      </c>
      <c r="Q34" s="158" t="e">
        <f>+#REF!</f>
        <v>#REF!</v>
      </c>
      <c r="R34" s="158" t="e">
        <f>+#REF!</f>
        <v>#REF!</v>
      </c>
      <c r="S34" s="158" t="e">
        <f>+#REF!</f>
        <v>#REF!</v>
      </c>
      <c r="T34" s="158" t="e">
        <f>+#REF!</f>
        <v>#REF!</v>
      </c>
      <c r="U34" s="158" t="e">
        <f>+#REF!</f>
        <v>#REF!</v>
      </c>
      <c r="V34" s="158" t="e">
        <f>+#REF!</f>
        <v>#REF!</v>
      </c>
    </row>
    <row r="35" spans="1:22">
      <c r="A35" s="38">
        <v>32</v>
      </c>
      <c r="B35" s="161" t="s">
        <v>75</v>
      </c>
      <c r="C35" s="118">
        <v>1</v>
      </c>
      <c r="D35" s="118"/>
      <c r="E35" s="17">
        <v>7</v>
      </c>
      <c r="F35" s="8">
        <v>6</v>
      </c>
      <c r="G35" s="8">
        <v>6</v>
      </c>
      <c r="H35" s="8">
        <v>6</v>
      </c>
      <c r="I35" s="8">
        <v>6</v>
      </c>
      <c r="J35" s="8">
        <v>7</v>
      </c>
      <c r="K35" s="8">
        <v>7</v>
      </c>
      <c r="L35" s="8">
        <v>7</v>
      </c>
      <c r="O35" s="146" t="s">
        <v>210</v>
      </c>
      <c r="P35" s="158">
        <f t="shared" ref="P35:V37" si="12">+P22</f>
        <v>0</v>
      </c>
      <c r="Q35" s="158">
        <f t="shared" si="12"/>
        <v>0</v>
      </c>
      <c r="R35" s="158">
        <f t="shared" si="12"/>
        <v>0</v>
      </c>
      <c r="S35" s="158">
        <f t="shared" si="12"/>
        <v>0</v>
      </c>
      <c r="T35" s="158">
        <f t="shared" si="12"/>
        <v>0</v>
      </c>
      <c r="U35" s="158">
        <f t="shared" si="12"/>
        <v>0.87179487179487181</v>
      </c>
      <c r="V35" s="158">
        <f t="shared" si="12"/>
        <v>0.12820512820512819</v>
      </c>
    </row>
    <row r="36" spans="1:22">
      <c r="A36" s="39">
        <v>33</v>
      </c>
      <c r="B36" s="161" t="s">
        <v>37</v>
      </c>
      <c r="C36" s="118">
        <v>1</v>
      </c>
      <c r="D36" s="118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  <c r="O36" s="146" t="s">
        <v>211</v>
      </c>
      <c r="P36" s="158">
        <f t="shared" si="12"/>
        <v>0</v>
      </c>
      <c r="Q36" s="158">
        <f t="shared" si="12"/>
        <v>0</v>
      </c>
      <c r="R36" s="158">
        <f t="shared" si="12"/>
        <v>0</v>
      </c>
      <c r="S36" s="158">
        <f t="shared" si="12"/>
        <v>0</v>
      </c>
      <c r="T36" s="158">
        <f t="shared" si="12"/>
        <v>0</v>
      </c>
      <c r="U36" s="158">
        <f t="shared" si="12"/>
        <v>0</v>
      </c>
      <c r="V36" s="158">
        <f t="shared" si="12"/>
        <v>1</v>
      </c>
    </row>
    <row r="37" spans="1:22">
      <c r="A37" s="39">
        <v>34</v>
      </c>
      <c r="B37" s="161" t="s">
        <v>219</v>
      </c>
      <c r="C37" s="118">
        <v>1</v>
      </c>
      <c r="D37" s="118"/>
      <c r="E37" s="17">
        <v>6</v>
      </c>
      <c r="F37" s="8">
        <v>6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6</v>
      </c>
      <c r="O37" s="146" t="s">
        <v>57</v>
      </c>
      <c r="P37" s="158">
        <f t="shared" si="12"/>
        <v>0</v>
      </c>
      <c r="Q37" s="158">
        <f t="shared" si="12"/>
        <v>0</v>
      </c>
      <c r="R37" s="158">
        <f t="shared" si="12"/>
        <v>0</v>
      </c>
      <c r="S37" s="158">
        <f t="shared" si="12"/>
        <v>0</v>
      </c>
      <c r="T37" s="158">
        <f t="shared" si="12"/>
        <v>0</v>
      </c>
      <c r="U37" s="158">
        <f t="shared" si="12"/>
        <v>0</v>
      </c>
      <c r="V37" s="158">
        <f t="shared" si="12"/>
        <v>1</v>
      </c>
    </row>
    <row r="38" spans="1:22">
      <c r="A38" s="76">
        <v>35</v>
      </c>
      <c r="B38" s="165" t="s">
        <v>174</v>
      </c>
      <c r="C38" s="121"/>
      <c r="D38" s="121">
        <v>1</v>
      </c>
      <c r="E38" s="79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  <c r="O38" s="146" t="s">
        <v>55</v>
      </c>
      <c r="P38" s="158" t="e">
        <f>+#REF!</f>
        <v>#REF!</v>
      </c>
      <c r="Q38" s="158" t="e">
        <f>+#REF!</f>
        <v>#REF!</v>
      </c>
      <c r="R38" s="158" t="e">
        <f>+#REF!</f>
        <v>#REF!</v>
      </c>
      <c r="S38" s="158" t="e">
        <f>+#REF!</f>
        <v>#REF!</v>
      </c>
      <c r="T38" s="158" t="e">
        <f>+#REF!</f>
        <v>#REF!</v>
      </c>
      <c r="U38" s="158" t="e">
        <f>+#REF!</f>
        <v>#REF!</v>
      </c>
      <c r="V38" s="158" t="e">
        <f>+#REF!</f>
        <v>#REF!</v>
      </c>
    </row>
    <row r="39" spans="1:22">
      <c r="A39" s="39">
        <v>36</v>
      </c>
      <c r="B39" s="161" t="s">
        <v>148</v>
      </c>
      <c r="C39" s="118">
        <v>1</v>
      </c>
      <c r="D39" s="118"/>
      <c r="E39" s="17">
        <v>7</v>
      </c>
      <c r="F39" s="8">
        <v>6</v>
      </c>
      <c r="G39" s="8">
        <v>6</v>
      </c>
      <c r="H39" s="8">
        <v>6</v>
      </c>
      <c r="I39" s="8">
        <v>6</v>
      </c>
      <c r="J39" s="8">
        <v>7</v>
      </c>
      <c r="K39" s="8">
        <v>7</v>
      </c>
      <c r="L39" s="8">
        <v>7</v>
      </c>
      <c r="O39" s="146" t="s">
        <v>212</v>
      </c>
      <c r="P39" s="164" t="e">
        <f t="shared" ref="P39:V39" si="13">SUM(P31:P38)</f>
        <v>#REF!</v>
      </c>
      <c r="Q39" s="164" t="e">
        <f t="shared" si="13"/>
        <v>#REF!</v>
      </c>
      <c r="R39" s="164" t="e">
        <f t="shared" si="13"/>
        <v>#REF!</v>
      </c>
      <c r="S39" s="164" t="e">
        <f t="shared" si="13"/>
        <v>#REF!</v>
      </c>
      <c r="T39" s="164" t="e">
        <f t="shared" si="13"/>
        <v>#REF!</v>
      </c>
      <c r="U39" s="164" t="e">
        <f t="shared" si="13"/>
        <v>#REF!</v>
      </c>
      <c r="V39" s="164" t="e">
        <f t="shared" si="13"/>
        <v>#REF!</v>
      </c>
    </row>
    <row r="40" spans="1:22">
      <c r="A40" s="39">
        <v>37</v>
      </c>
      <c r="B40" s="161" t="s">
        <v>76</v>
      </c>
      <c r="C40" s="118">
        <v>1</v>
      </c>
      <c r="D40" s="118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  <c r="P40" s="138">
        <f t="shared" ref="P40:V40" si="14">8*28</f>
        <v>224</v>
      </c>
      <c r="Q40" s="138">
        <f t="shared" si="14"/>
        <v>224</v>
      </c>
      <c r="R40" s="138">
        <f t="shared" si="14"/>
        <v>224</v>
      </c>
      <c r="S40" s="138">
        <f t="shared" si="14"/>
        <v>224</v>
      </c>
      <c r="T40" s="138">
        <f t="shared" si="14"/>
        <v>224</v>
      </c>
      <c r="U40" s="138">
        <f t="shared" si="14"/>
        <v>224</v>
      </c>
      <c r="V40" s="138">
        <f t="shared" si="14"/>
        <v>224</v>
      </c>
    </row>
    <row r="41" spans="1:22">
      <c r="A41" s="39">
        <v>38</v>
      </c>
      <c r="B41" s="161" t="s">
        <v>182</v>
      </c>
      <c r="C41" s="118">
        <v>1</v>
      </c>
      <c r="D41" s="118"/>
      <c r="E41" s="17">
        <v>7</v>
      </c>
      <c r="F41" s="8">
        <v>7</v>
      </c>
      <c r="G41" s="8">
        <v>5</v>
      </c>
      <c r="H41" s="8">
        <v>6</v>
      </c>
      <c r="I41" s="8">
        <v>7</v>
      </c>
      <c r="J41" s="8">
        <v>7</v>
      </c>
      <c r="K41" s="8">
        <v>7</v>
      </c>
      <c r="L41" s="8">
        <v>7</v>
      </c>
      <c r="P41" s="159" t="e">
        <f t="shared" ref="P41:V41" si="15">+P39/P40</f>
        <v>#REF!</v>
      </c>
      <c r="Q41" s="159" t="e">
        <f t="shared" si="15"/>
        <v>#REF!</v>
      </c>
      <c r="R41" s="159" t="e">
        <f t="shared" si="15"/>
        <v>#REF!</v>
      </c>
      <c r="S41" s="159" t="e">
        <f t="shared" si="15"/>
        <v>#REF!</v>
      </c>
      <c r="T41" s="159" t="e">
        <f t="shared" si="15"/>
        <v>#REF!</v>
      </c>
      <c r="U41" s="159" t="e">
        <f t="shared" si="15"/>
        <v>#REF!</v>
      </c>
      <c r="V41" s="159" t="e">
        <f t="shared" si="15"/>
        <v>#REF!</v>
      </c>
    </row>
    <row r="42" spans="1:22">
      <c r="A42" s="39">
        <v>39</v>
      </c>
      <c r="B42" s="161" t="s">
        <v>38</v>
      </c>
      <c r="C42" s="118">
        <v>1</v>
      </c>
      <c r="D42" s="118"/>
      <c r="E42" s="17">
        <v>7</v>
      </c>
      <c r="F42" s="8">
        <v>7</v>
      </c>
      <c r="G42" s="8">
        <v>7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22">
      <c r="A43" s="39">
        <v>40</v>
      </c>
      <c r="B43" s="161" t="s">
        <v>77</v>
      </c>
      <c r="C43" s="118">
        <v>1</v>
      </c>
      <c r="D43" s="118"/>
      <c r="E43" s="17">
        <v>7</v>
      </c>
      <c r="F43" s="8">
        <v>7</v>
      </c>
      <c r="G43" s="8">
        <v>7</v>
      </c>
      <c r="H43" s="8">
        <v>6</v>
      </c>
      <c r="I43" s="8">
        <v>7</v>
      </c>
      <c r="J43" s="8">
        <v>7</v>
      </c>
      <c r="K43" s="8">
        <v>7</v>
      </c>
      <c r="L43" s="8">
        <v>7</v>
      </c>
    </row>
    <row r="44" spans="1:22">
      <c r="A44" s="39">
        <v>41</v>
      </c>
      <c r="B44" s="161" t="s">
        <v>183</v>
      </c>
      <c r="C44" s="118">
        <v>1</v>
      </c>
      <c r="D44" s="118"/>
      <c r="E44" s="17">
        <v>6</v>
      </c>
      <c r="F44" s="8">
        <v>6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6</v>
      </c>
    </row>
    <row r="45" spans="1:22">
      <c r="A45" s="76">
        <v>42</v>
      </c>
      <c r="B45" s="165" t="s">
        <v>119</v>
      </c>
      <c r="C45" s="121"/>
      <c r="D45" s="121">
        <v>1</v>
      </c>
      <c r="E45" s="79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</row>
    <row r="46" spans="1:22">
      <c r="A46" s="39">
        <v>43</v>
      </c>
      <c r="B46" s="161" t="s">
        <v>220</v>
      </c>
      <c r="C46" s="118">
        <v>1</v>
      </c>
      <c r="D46" s="118"/>
      <c r="E46" s="17">
        <v>7</v>
      </c>
      <c r="F46" s="8">
        <v>7</v>
      </c>
      <c r="G46" s="8">
        <v>7</v>
      </c>
      <c r="H46" s="8">
        <v>6</v>
      </c>
      <c r="I46" s="8">
        <v>6</v>
      </c>
      <c r="J46" s="8">
        <v>7</v>
      </c>
      <c r="K46" s="8">
        <v>7</v>
      </c>
      <c r="L46" s="8">
        <v>7</v>
      </c>
    </row>
    <row r="47" spans="1:22">
      <c r="A47" s="39">
        <v>44</v>
      </c>
      <c r="B47" s="161" t="s">
        <v>221</v>
      </c>
      <c r="C47" s="118">
        <v>1</v>
      </c>
      <c r="D47" s="118"/>
      <c r="E47" s="17">
        <v>7</v>
      </c>
      <c r="F47" s="8">
        <v>7</v>
      </c>
      <c r="G47" s="8">
        <v>7</v>
      </c>
      <c r="H47" s="8">
        <v>6</v>
      </c>
      <c r="I47" s="8">
        <v>6</v>
      </c>
      <c r="J47" s="8">
        <v>7</v>
      </c>
      <c r="K47" s="8">
        <v>7</v>
      </c>
      <c r="L47" s="8">
        <v>7</v>
      </c>
    </row>
    <row r="48" spans="1:22">
      <c r="A48" s="39">
        <v>45</v>
      </c>
      <c r="B48" s="161" t="s">
        <v>120</v>
      </c>
      <c r="C48" s="118">
        <v>1</v>
      </c>
      <c r="D48" s="118"/>
      <c r="E48" s="17">
        <v>6</v>
      </c>
      <c r="F48" s="8">
        <v>6</v>
      </c>
      <c r="G48" s="8">
        <v>7</v>
      </c>
      <c r="H48" s="8">
        <v>6</v>
      </c>
      <c r="I48" s="8">
        <v>6</v>
      </c>
      <c r="J48" s="8">
        <v>7</v>
      </c>
      <c r="K48" s="8">
        <v>7</v>
      </c>
      <c r="L48" s="8">
        <v>6</v>
      </c>
    </row>
    <row r="49" spans="1:12">
      <c r="A49" s="39">
        <v>46</v>
      </c>
      <c r="B49" s="161" t="s">
        <v>192</v>
      </c>
      <c r="C49" s="118">
        <v>1</v>
      </c>
      <c r="D49" s="118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38">
        <v>47</v>
      </c>
      <c r="B50" s="161" t="s">
        <v>137</v>
      </c>
      <c r="C50" s="118">
        <v>1</v>
      </c>
      <c r="D50" s="118"/>
      <c r="E50" s="17">
        <v>7</v>
      </c>
      <c r="F50" s="8">
        <v>7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7</v>
      </c>
    </row>
    <row r="51" spans="1:12">
      <c r="A51" s="39">
        <v>48</v>
      </c>
      <c r="B51" s="161" t="s">
        <v>222</v>
      </c>
      <c r="C51" s="118">
        <v>1</v>
      </c>
      <c r="D51" s="118"/>
      <c r="E51" s="17">
        <v>6</v>
      </c>
      <c r="F51" s="8">
        <v>6</v>
      </c>
      <c r="G51" s="8">
        <v>7</v>
      </c>
      <c r="H51" s="8">
        <v>6</v>
      </c>
      <c r="I51" s="8">
        <v>6</v>
      </c>
      <c r="J51" s="8">
        <v>7</v>
      </c>
      <c r="K51" s="8">
        <v>7</v>
      </c>
      <c r="L51" s="8">
        <v>6</v>
      </c>
    </row>
    <row r="52" spans="1:12">
      <c r="A52" s="39">
        <v>49</v>
      </c>
      <c r="B52" s="161" t="s">
        <v>44</v>
      </c>
      <c r="C52" s="118">
        <v>1</v>
      </c>
      <c r="D52" s="118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38">
        <v>50</v>
      </c>
      <c r="B53" s="161" t="s">
        <v>106</v>
      </c>
      <c r="C53" s="118">
        <v>1</v>
      </c>
      <c r="D53" s="118"/>
      <c r="E53" s="17">
        <v>6</v>
      </c>
      <c r="F53" s="8">
        <v>6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6</v>
      </c>
    </row>
    <row r="54" spans="1:12">
      <c r="A54" s="29"/>
      <c r="B54" s="30"/>
      <c r="C54" s="4">
        <f>SUM(C4:C53)</f>
        <v>39</v>
      </c>
      <c r="D54" s="4">
        <f>SUM(D4:D53)</f>
        <v>11</v>
      </c>
    </row>
    <row r="55" spans="1:12">
      <c r="A55" s="29"/>
      <c r="B55" s="30"/>
      <c r="C55" s="45">
        <f>+C54/50</f>
        <v>0.78</v>
      </c>
      <c r="D55" s="45">
        <f>+D54/50</f>
        <v>0.22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f>39-E59</f>
        <v>24</v>
      </c>
      <c r="F58" s="64">
        <v>18</v>
      </c>
      <c r="G58" s="64">
        <v>32</v>
      </c>
      <c r="H58" s="64">
        <v>1</v>
      </c>
      <c r="I58" s="64">
        <v>5</v>
      </c>
      <c r="J58" s="64">
        <f>39-J59</f>
        <v>39</v>
      </c>
      <c r="K58" s="64">
        <f>39-K59</f>
        <v>39</v>
      </c>
      <c r="L58" s="65">
        <f>39-L59</f>
        <v>23</v>
      </c>
    </row>
    <row r="59" spans="1:12">
      <c r="A59" s="29"/>
      <c r="B59" s="30"/>
      <c r="C59" s="29"/>
      <c r="D59" s="69">
        <v>6</v>
      </c>
      <c r="E59" s="4">
        <v>15</v>
      </c>
      <c r="F59" s="4">
        <v>21</v>
      </c>
      <c r="G59" s="4">
        <v>6</v>
      </c>
      <c r="H59" s="4">
        <v>38</v>
      </c>
      <c r="I59" s="4">
        <v>34</v>
      </c>
      <c r="J59" s="4">
        <v>0</v>
      </c>
      <c r="K59" s="4">
        <v>0</v>
      </c>
      <c r="L59" s="66">
        <v>16</v>
      </c>
    </row>
    <row r="60" spans="1:12">
      <c r="A60" s="29"/>
      <c r="B60" s="30"/>
      <c r="C60" s="29"/>
      <c r="D60" s="69">
        <v>5</v>
      </c>
      <c r="G60" s="4">
        <v>1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16">SUM(E58:E64)</f>
        <v>39</v>
      </c>
      <c r="F65" s="4">
        <f t="shared" si="16"/>
        <v>39</v>
      </c>
      <c r="G65" s="4">
        <f t="shared" si="16"/>
        <v>39</v>
      </c>
      <c r="H65" s="4">
        <f t="shared" si="16"/>
        <v>39</v>
      </c>
      <c r="I65" s="4">
        <f t="shared" si="16"/>
        <v>39</v>
      </c>
      <c r="J65" s="4">
        <f t="shared" si="16"/>
        <v>39</v>
      </c>
      <c r="K65" s="4">
        <f t="shared" si="16"/>
        <v>39</v>
      </c>
      <c r="L65" s="4">
        <f t="shared" si="16"/>
        <v>39</v>
      </c>
    </row>
    <row r="66" spans="2:13">
      <c r="C66" s="1"/>
      <c r="D66" s="1"/>
    </row>
    <row r="67" spans="2:13">
      <c r="D67" s="28" t="s">
        <v>59</v>
      </c>
      <c r="E67" s="4">
        <f t="shared" ref="E67:L67" si="17">$C54*7</f>
        <v>273</v>
      </c>
      <c r="F67" s="4">
        <f t="shared" si="17"/>
        <v>273</v>
      </c>
      <c r="G67" s="4">
        <f t="shared" si="17"/>
        <v>273</v>
      </c>
      <c r="H67" s="4">
        <f t="shared" si="17"/>
        <v>273</v>
      </c>
      <c r="I67" s="4">
        <f t="shared" si="17"/>
        <v>273</v>
      </c>
      <c r="J67" s="4">
        <f t="shared" si="17"/>
        <v>273</v>
      </c>
      <c r="K67" s="4">
        <f t="shared" si="17"/>
        <v>273</v>
      </c>
      <c r="L67" s="4">
        <f t="shared" si="17"/>
        <v>273</v>
      </c>
      <c r="M67" s="1">
        <f>SUM(E67:L67)</f>
        <v>2184</v>
      </c>
    </row>
    <row r="68" spans="2:13" ht="17" thickBot="1">
      <c r="D68" s="28" t="s">
        <v>60</v>
      </c>
      <c r="E68" s="4">
        <f t="shared" ref="E68:L68" si="18">SUM(E4:E53)</f>
        <v>258</v>
      </c>
      <c r="F68" s="4">
        <f t="shared" si="18"/>
        <v>252</v>
      </c>
      <c r="G68" s="4">
        <f t="shared" si="18"/>
        <v>265</v>
      </c>
      <c r="H68" s="4">
        <f t="shared" si="18"/>
        <v>235</v>
      </c>
      <c r="I68" s="4">
        <f t="shared" si="18"/>
        <v>239</v>
      </c>
      <c r="J68" s="4">
        <f t="shared" si="18"/>
        <v>273</v>
      </c>
      <c r="K68" s="4">
        <f t="shared" si="18"/>
        <v>273</v>
      </c>
      <c r="L68" s="4">
        <f t="shared" si="18"/>
        <v>257</v>
      </c>
      <c r="M68" s="1">
        <f>SUM(E68:L68)</f>
        <v>2052</v>
      </c>
    </row>
    <row r="69" spans="2:13" ht="22.5" customHeight="1" thickBot="1">
      <c r="E69" s="45">
        <f t="shared" ref="E69:M69" si="19">+E68/E67</f>
        <v>0.94505494505494503</v>
      </c>
      <c r="F69" s="45">
        <f t="shared" si="19"/>
        <v>0.92307692307692313</v>
      </c>
      <c r="G69" s="45">
        <f t="shared" si="19"/>
        <v>0.97069597069597069</v>
      </c>
      <c r="H69" s="45">
        <f t="shared" si="19"/>
        <v>0.86080586080586086</v>
      </c>
      <c r="I69" s="45">
        <f t="shared" si="19"/>
        <v>0.87545787545787546</v>
      </c>
      <c r="J69" s="45">
        <f t="shared" si="19"/>
        <v>1</v>
      </c>
      <c r="K69" s="45">
        <f t="shared" si="19"/>
        <v>1</v>
      </c>
      <c r="L69" s="45">
        <f t="shared" si="19"/>
        <v>0.94139194139194138</v>
      </c>
      <c r="M69" s="137">
        <f t="shared" si="19"/>
        <v>0.93956043956043955</v>
      </c>
    </row>
    <row r="70" spans="2:13" ht="29.25" customHeight="1"/>
    <row r="71" spans="2:13" ht="31.5" customHeight="1">
      <c r="B71" s="62" t="s">
        <v>63</v>
      </c>
    </row>
    <row r="72" spans="2:13" ht="31.5" customHeight="1">
      <c r="B72" s="62" t="s">
        <v>224</v>
      </c>
    </row>
    <row r="73" spans="2:13" ht="31.5" customHeight="1" thickBot="1">
      <c r="B73" s="63" t="s">
        <v>66</v>
      </c>
    </row>
    <row r="74" spans="2:13" ht="31.5" customHeight="1" thickBot="1">
      <c r="B74" s="63" t="s">
        <v>225</v>
      </c>
      <c r="L74" s="202" t="s">
        <v>92</v>
      </c>
      <c r="M74" s="203"/>
    </row>
    <row r="75" spans="2:13" ht="31.5" customHeight="1"/>
  </sheetData>
  <mergeCells count="3">
    <mergeCell ref="D57:L57"/>
    <mergeCell ref="L74:M74"/>
    <mergeCell ref="P3:R3"/>
  </mergeCells>
  <phoneticPr fontId="2" type="noConversion"/>
  <pageMargins left="0.78" right="0.18" top="0.22" bottom="0.17" header="0.5" footer="0.17"/>
  <pageSetup paperSize="9" scale="85" orientation="portrait" r:id="rId1"/>
  <headerFooter alignWithMargins="0"/>
  <rowBreaks count="1" manualBreakCount="1">
    <brk id="55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76" sqref="E76"/>
    </sheetView>
  </sheetViews>
  <sheetFormatPr baseColWidth="10" defaultColWidth="9" defaultRowHeight="16"/>
  <cols>
    <col min="1" max="1" width="4.83203125" style="4" customWidth="1"/>
    <col min="2" max="2" width="29.83203125" style="1" customWidth="1"/>
    <col min="3" max="4" width="5.33203125" style="4" customWidth="1"/>
    <col min="5" max="12" width="5.83203125" style="4" customWidth="1"/>
    <col min="13" max="13" width="5.83203125" style="89" customWidth="1"/>
    <col min="14" max="14" width="4.5" style="89" customWidth="1"/>
    <col min="15" max="16384" width="9" style="89"/>
  </cols>
  <sheetData>
    <row r="1" spans="1:12" ht="18">
      <c r="A1" s="27" t="s">
        <v>187</v>
      </c>
    </row>
    <row r="2" spans="1:12">
      <c r="A2" s="5"/>
    </row>
    <row r="3" spans="1:12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</row>
    <row r="4" spans="1:12">
      <c r="A4" s="81">
        <v>1</v>
      </c>
      <c r="B4" s="130" t="s">
        <v>124</v>
      </c>
      <c r="C4" s="121"/>
      <c r="D4" s="121"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</row>
    <row r="5" spans="1:12">
      <c r="A5" s="39">
        <v>2</v>
      </c>
      <c r="B5" s="136" t="s">
        <v>179</v>
      </c>
      <c r="C5" s="119">
        <v>1</v>
      </c>
      <c r="D5" s="123"/>
      <c r="E5" s="17">
        <v>7</v>
      </c>
      <c r="F5" s="8">
        <v>7</v>
      </c>
      <c r="G5" s="8">
        <v>7</v>
      </c>
      <c r="H5" s="8">
        <v>6</v>
      </c>
      <c r="I5" s="8">
        <v>7</v>
      </c>
      <c r="J5" s="8">
        <v>7</v>
      </c>
      <c r="K5" s="8">
        <v>7</v>
      </c>
      <c r="L5" s="8">
        <v>7</v>
      </c>
    </row>
    <row r="6" spans="1:12">
      <c r="A6" s="76">
        <v>3</v>
      </c>
      <c r="B6" s="130" t="s">
        <v>162</v>
      </c>
      <c r="C6" s="121"/>
      <c r="D6" s="121">
        <v>1</v>
      </c>
      <c r="E6" s="79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>
        <v>0</v>
      </c>
      <c r="L6" s="80">
        <v>0</v>
      </c>
    </row>
    <row r="7" spans="1:12">
      <c r="A7" s="38">
        <v>4</v>
      </c>
      <c r="B7" s="136" t="s">
        <v>93</v>
      </c>
      <c r="C7" s="123">
        <v>1</v>
      </c>
      <c r="D7" s="123"/>
      <c r="E7" s="17">
        <v>7</v>
      </c>
      <c r="F7" s="8">
        <v>7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7</v>
      </c>
    </row>
    <row r="8" spans="1:12">
      <c r="A8" s="39">
        <v>5</v>
      </c>
      <c r="B8" s="136" t="s">
        <v>14</v>
      </c>
      <c r="C8" s="123">
        <v>1</v>
      </c>
      <c r="D8" s="123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38">
        <v>6</v>
      </c>
      <c r="B9" s="136" t="s">
        <v>96</v>
      </c>
      <c r="C9" s="123">
        <v>1</v>
      </c>
      <c r="D9" s="123"/>
      <c r="E9" s="17">
        <v>7</v>
      </c>
      <c r="F9" s="8">
        <v>7</v>
      </c>
      <c r="G9" s="8">
        <v>7</v>
      </c>
      <c r="H9" s="8">
        <v>6</v>
      </c>
      <c r="I9" s="8">
        <v>7</v>
      </c>
      <c r="J9" s="8">
        <v>7</v>
      </c>
      <c r="K9" s="8">
        <v>7</v>
      </c>
      <c r="L9" s="8">
        <v>7</v>
      </c>
    </row>
    <row r="10" spans="1:12">
      <c r="A10" s="39">
        <v>7</v>
      </c>
      <c r="B10" s="136" t="s">
        <v>163</v>
      </c>
      <c r="C10" s="119">
        <v>1</v>
      </c>
      <c r="D10" s="123"/>
      <c r="E10" s="17">
        <v>7</v>
      </c>
      <c r="F10" s="8">
        <v>7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7</v>
      </c>
    </row>
    <row r="11" spans="1:12">
      <c r="A11" s="39">
        <v>8</v>
      </c>
      <c r="B11" s="136" t="s">
        <v>165</v>
      </c>
      <c r="C11" s="123">
        <v>1</v>
      </c>
      <c r="D11" s="123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</row>
    <row r="12" spans="1:12">
      <c r="A12" s="76">
        <v>9</v>
      </c>
      <c r="B12" s="129" t="s">
        <v>97</v>
      </c>
      <c r="C12" s="121" t="s">
        <v>186</v>
      </c>
      <c r="D12" s="121">
        <v>1</v>
      </c>
      <c r="E12" s="79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0">
        <v>0</v>
      </c>
    </row>
    <row r="13" spans="1:12">
      <c r="A13" s="38">
        <v>10</v>
      </c>
      <c r="B13" s="136" t="s">
        <v>166</v>
      </c>
      <c r="C13" s="119">
        <v>1</v>
      </c>
      <c r="D13" s="123"/>
      <c r="E13" s="17">
        <v>7</v>
      </c>
      <c r="F13" s="8">
        <v>7</v>
      </c>
      <c r="G13" s="8">
        <v>7</v>
      </c>
      <c r="H13" s="8">
        <v>6</v>
      </c>
      <c r="I13" s="8">
        <v>7</v>
      </c>
      <c r="J13" s="8">
        <v>7</v>
      </c>
      <c r="K13" s="8">
        <v>7</v>
      </c>
      <c r="L13" s="8">
        <v>7</v>
      </c>
    </row>
    <row r="14" spans="1:12">
      <c r="A14" s="81">
        <v>11</v>
      </c>
      <c r="B14" s="130" t="s">
        <v>129</v>
      </c>
      <c r="C14" s="121"/>
      <c r="D14" s="121">
        <v>1</v>
      </c>
      <c r="E14" s="79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</row>
    <row r="15" spans="1:12">
      <c r="A15" s="39">
        <v>12</v>
      </c>
      <c r="B15" s="136" t="s">
        <v>100</v>
      </c>
      <c r="C15" s="119">
        <v>1</v>
      </c>
      <c r="D15" s="123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</row>
    <row r="16" spans="1:12">
      <c r="A16" s="38">
        <v>13</v>
      </c>
      <c r="B16" s="136" t="s">
        <v>131</v>
      </c>
      <c r="C16" s="119">
        <v>1</v>
      </c>
      <c r="D16" s="123"/>
      <c r="E16" s="17">
        <v>7</v>
      </c>
      <c r="F16" s="8">
        <v>7</v>
      </c>
      <c r="G16" s="8">
        <v>7</v>
      </c>
      <c r="H16" s="8">
        <v>6</v>
      </c>
      <c r="I16" s="8">
        <v>6</v>
      </c>
      <c r="J16" s="8">
        <v>7</v>
      </c>
      <c r="K16" s="8">
        <v>7</v>
      </c>
      <c r="L16" s="8">
        <v>7</v>
      </c>
    </row>
    <row r="17" spans="1:12">
      <c r="A17" s="38">
        <v>14</v>
      </c>
      <c r="B17" s="136" t="s">
        <v>101</v>
      </c>
      <c r="C17" s="119">
        <v>1</v>
      </c>
      <c r="D17" s="123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</row>
    <row r="18" spans="1:12">
      <c r="A18" s="76">
        <v>15</v>
      </c>
      <c r="B18" s="129" t="s">
        <v>22</v>
      </c>
      <c r="C18" s="121"/>
      <c r="D18" s="121">
        <v>1</v>
      </c>
      <c r="E18" s="79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</row>
    <row r="19" spans="1:12">
      <c r="A19" s="39">
        <v>16</v>
      </c>
      <c r="B19" s="136" t="s">
        <v>145</v>
      </c>
      <c r="C19" s="123">
        <v>1</v>
      </c>
      <c r="D19" s="123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 s="1" customFormat="1">
      <c r="A20" s="39">
        <v>17</v>
      </c>
      <c r="B20" s="136" t="s">
        <v>167</v>
      </c>
      <c r="C20" s="119">
        <v>1</v>
      </c>
      <c r="D20" s="123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</row>
    <row r="21" spans="1:12">
      <c r="A21" s="39">
        <v>18</v>
      </c>
      <c r="B21" s="136" t="s">
        <v>24</v>
      </c>
      <c r="C21" s="123">
        <v>1</v>
      </c>
      <c r="D21" s="123"/>
      <c r="E21" s="17">
        <v>7</v>
      </c>
      <c r="F21" s="8">
        <v>7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7</v>
      </c>
    </row>
    <row r="22" spans="1:12">
      <c r="A22" s="76">
        <v>19</v>
      </c>
      <c r="B22" s="130" t="s">
        <v>168</v>
      </c>
      <c r="C22" s="121"/>
      <c r="D22" s="121">
        <v>1</v>
      </c>
      <c r="E22" s="79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</row>
    <row r="23" spans="1:12">
      <c r="A23" s="76">
        <v>20</v>
      </c>
      <c r="B23" s="130" t="s">
        <v>169</v>
      </c>
      <c r="C23" s="121"/>
      <c r="D23" s="121">
        <v>1</v>
      </c>
      <c r="E23" s="79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</row>
    <row r="24" spans="1:12">
      <c r="A24" s="39">
        <v>21</v>
      </c>
      <c r="B24" s="136" t="s">
        <v>25</v>
      </c>
      <c r="C24" s="123">
        <v>1</v>
      </c>
      <c r="D24" s="123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38">
        <v>22</v>
      </c>
      <c r="B25" s="136" t="s">
        <v>70</v>
      </c>
      <c r="C25" s="123">
        <v>1</v>
      </c>
      <c r="D25" s="123"/>
      <c r="E25" s="17">
        <v>7</v>
      </c>
      <c r="F25" s="8">
        <v>7</v>
      </c>
      <c r="G25" s="8">
        <v>7</v>
      </c>
      <c r="H25" s="8">
        <v>6</v>
      </c>
      <c r="I25" s="8">
        <v>7</v>
      </c>
      <c r="J25" s="8">
        <v>7</v>
      </c>
      <c r="K25" s="8">
        <v>7</v>
      </c>
      <c r="L25" s="8">
        <v>7</v>
      </c>
    </row>
    <row r="26" spans="1:12">
      <c r="A26" s="39">
        <v>23</v>
      </c>
      <c r="B26" s="136" t="s">
        <v>71</v>
      </c>
      <c r="C26" s="123">
        <v>1</v>
      </c>
      <c r="D26" s="123"/>
      <c r="E26" s="17">
        <v>7</v>
      </c>
      <c r="F26" s="8">
        <v>7</v>
      </c>
      <c r="G26" s="8">
        <v>7</v>
      </c>
      <c r="H26" s="8">
        <v>6</v>
      </c>
      <c r="I26" s="8">
        <v>6</v>
      </c>
      <c r="J26" s="8">
        <v>7</v>
      </c>
      <c r="K26" s="8">
        <v>7</v>
      </c>
      <c r="L26" s="8">
        <v>7</v>
      </c>
    </row>
    <row r="27" spans="1:12">
      <c r="A27" s="76">
        <v>24</v>
      </c>
      <c r="B27" s="130" t="s">
        <v>146</v>
      </c>
      <c r="C27" s="121"/>
      <c r="D27" s="121">
        <v>1</v>
      </c>
      <c r="E27" s="79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</row>
    <row r="28" spans="1:12">
      <c r="A28" s="39">
        <v>25</v>
      </c>
      <c r="B28" s="136" t="s">
        <v>72</v>
      </c>
      <c r="C28" s="123">
        <v>1</v>
      </c>
      <c r="D28" s="123"/>
      <c r="E28" s="17">
        <v>7</v>
      </c>
      <c r="F28" s="8">
        <v>6</v>
      </c>
      <c r="G28" s="8">
        <v>6</v>
      </c>
      <c r="H28" s="8">
        <v>6</v>
      </c>
      <c r="I28" s="8">
        <v>6</v>
      </c>
      <c r="J28" s="8">
        <v>7</v>
      </c>
      <c r="K28" s="8">
        <v>7</v>
      </c>
      <c r="L28" s="8">
        <v>7</v>
      </c>
    </row>
    <row r="29" spans="1:12">
      <c r="A29" s="39">
        <v>26</v>
      </c>
      <c r="B29" s="136" t="s">
        <v>115</v>
      </c>
      <c r="C29" s="123">
        <v>1</v>
      </c>
      <c r="D29" s="123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12">
      <c r="A30" s="39">
        <v>27</v>
      </c>
      <c r="B30" s="136" t="s">
        <v>104</v>
      </c>
      <c r="C30" s="123">
        <v>1</v>
      </c>
      <c r="D30" s="123"/>
      <c r="E30" s="17">
        <v>7</v>
      </c>
      <c r="F30" s="8">
        <v>6</v>
      </c>
      <c r="G30" s="8">
        <v>6</v>
      </c>
      <c r="H30" s="8">
        <v>6</v>
      </c>
      <c r="I30" s="8">
        <v>6</v>
      </c>
      <c r="J30" s="8">
        <v>7</v>
      </c>
      <c r="K30" s="8">
        <v>7</v>
      </c>
      <c r="L30" s="8">
        <v>7</v>
      </c>
    </row>
    <row r="31" spans="1:12">
      <c r="A31" s="39">
        <v>28</v>
      </c>
      <c r="B31" s="136" t="s">
        <v>33</v>
      </c>
      <c r="C31" s="123">
        <v>1</v>
      </c>
      <c r="D31" s="123"/>
      <c r="E31" s="17">
        <v>7</v>
      </c>
      <c r="F31" s="8">
        <v>7</v>
      </c>
      <c r="G31" s="8">
        <v>7</v>
      </c>
      <c r="H31" s="8">
        <v>6</v>
      </c>
      <c r="I31" s="8">
        <v>7</v>
      </c>
      <c r="J31" s="8">
        <v>7</v>
      </c>
      <c r="K31" s="8">
        <v>7</v>
      </c>
      <c r="L31" s="8">
        <v>7</v>
      </c>
    </row>
    <row r="32" spans="1:12">
      <c r="A32" s="39">
        <v>29</v>
      </c>
      <c r="B32" s="136" t="s">
        <v>172</v>
      </c>
      <c r="C32" s="119">
        <v>1</v>
      </c>
      <c r="D32" s="123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</row>
    <row r="33" spans="1:12">
      <c r="A33" s="76">
        <v>30</v>
      </c>
      <c r="B33" s="130" t="s">
        <v>173</v>
      </c>
      <c r="C33" s="121"/>
      <c r="D33" s="121">
        <v>1</v>
      </c>
      <c r="E33" s="79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0">
        <v>0</v>
      </c>
    </row>
    <row r="34" spans="1:12">
      <c r="A34" s="39">
        <v>31</v>
      </c>
      <c r="B34" s="136" t="s">
        <v>147</v>
      </c>
      <c r="C34" s="119">
        <v>1</v>
      </c>
      <c r="D34" s="123"/>
      <c r="E34" s="17">
        <v>7</v>
      </c>
      <c r="F34" s="8">
        <v>7</v>
      </c>
      <c r="G34" s="8">
        <v>7</v>
      </c>
      <c r="H34" s="8">
        <v>6</v>
      </c>
      <c r="I34" s="8">
        <v>7</v>
      </c>
      <c r="J34" s="8">
        <v>7</v>
      </c>
      <c r="K34" s="8">
        <v>7</v>
      </c>
      <c r="L34" s="8">
        <v>7</v>
      </c>
    </row>
    <row r="35" spans="1:12">
      <c r="A35" s="38">
        <v>32</v>
      </c>
      <c r="B35" s="136" t="s">
        <v>116</v>
      </c>
      <c r="C35" s="123">
        <v>1</v>
      </c>
      <c r="D35" s="123"/>
      <c r="E35" s="17">
        <v>7</v>
      </c>
      <c r="F35" s="8">
        <v>6</v>
      </c>
      <c r="G35" s="8">
        <v>6</v>
      </c>
      <c r="H35" s="8">
        <v>6</v>
      </c>
      <c r="I35" s="8">
        <v>6</v>
      </c>
      <c r="J35" s="8">
        <v>7</v>
      </c>
      <c r="K35" s="8">
        <v>7</v>
      </c>
      <c r="L35" s="8">
        <v>7</v>
      </c>
    </row>
    <row r="36" spans="1:12">
      <c r="A36" s="39">
        <v>33</v>
      </c>
      <c r="B36" s="135" t="s">
        <v>34</v>
      </c>
      <c r="C36" s="119">
        <v>1</v>
      </c>
      <c r="D36" s="123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</row>
    <row r="37" spans="1:12">
      <c r="A37" s="39">
        <v>34</v>
      </c>
      <c r="B37" s="136" t="s">
        <v>117</v>
      </c>
      <c r="C37" s="119">
        <v>1</v>
      </c>
      <c r="D37" s="123"/>
      <c r="E37" s="17">
        <v>7</v>
      </c>
      <c r="F37" s="8">
        <v>7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7</v>
      </c>
    </row>
    <row r="38" spans="1:12">
      <c r="A38" s="76">
        <v>35</v>
      </c>
      <c r="B38" s="130" t="s">
        <v>180</v>
      </c>
      <c r="C38" s="121"/>
      <c r="D38" s="121">
        <v>1</v>
      </c>
      <c r="E38" s="79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</row>
    <row r="39" spans="1:12">
      <c r="A39" s="39">
        <v>36</v>
      </c>
      <c r="B39" s="136" t="s">
        <v>181</v>
      </c>
      <c r="C39" s="123">
        <v>1</v>
      </c>
      <c r="D39" s="123"/>
      <c r="E39" s="17">
        <v>7</v>
      </c>
      <c r="F39" s="8">
        <v>6</v>
      </c>
      <c r="G39" s="8">
        <v>6</v>
      </c>
      <c r="H39" s="8">
        <v>6</v>
      </c>
      <c r="I39" s="8">
        <v>6</v>
      </c>
      <c r="J39" s="8">
        <v>7</v>
      </c>
      <c r="K39" s="8">
        <v>7</v>
      </c>
      <c r="L39" s="8">
        <v>7</v>
      </c>
    </row>
    <row r="40" spans="1:12">
      <c r="A40" s="39">
        <v>37</v>
      </c>
      <c r="B40" s="136" t="s">
        <v>148</v>
      </c>
      <c r="C40" s="119">
        <v>1</v>
      </c>
      <c r="D40" s="123"/>
      <c r="E40" s="17">
        <v>7</v>
      </c>
      <c r="F40" s="8">
        <v>7</v>
      </c>
      <c r="G40" s="8">
        <v>7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</row>
    <row r="41" spans="1:12">
      <c r="A41" s="39">
        <v>38</v>
      </c>
      <c r="B41" s="136" t="s">
        <v>76</v>
      </c>
      <c r="C41" s="119">
        <v>1</v>
      </c>
      <c r="D41" s="123"/>
      <c r="E41" s="17">
        <v>7</v>
      </c>
      <c r="F41" s="8">
        <v>7</v>
      </c>
      <c r="G41" s="8">
        <v>7</v>
      </c>
      <c r="H41" s="8">
        <v>6</v>
      </c>
      <c r="I41" s="8">
        <v>7</v>
      </c>
      <c r="J41" s="8">
        <v>7</v>
      </c>
      <c r="K41" s="8">
        <v>7</v>
      </c>
      <c r="L41" s="8">
        <v>7</v>
      </c>
    </row>
    <row r="42" spans="1:12">
      <c r="A42" s="76">
        <v>39</v>
      </c>
      <c r="B42" s="130" t="s">
        <v>182</v>
      </c>
      <c r="C42" s="121"/>
      <c r="D42" s="121"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12">
      <c r="A43" s="39">
        <v>40</v>
      </c>
      <c r="B43" s="136" t="s">
        <v>38</v>
      </c>
      <c r="C43" s="119">
        <v>1</v>
      </c>
      <c r="D43" s="123"/>
      <c r="E43" s="17">
        <v>7</v>
      </c>
      <c r="F43" s="8">
        <v>7</v>
      </c>
      <c r="G43" s="8">
        <v>7</v>
      </c>
      <c r="H43" s="8">
        <v>6</v>
      </c>
      <c r="I43" s="8">
        <v>7</v>
      </c>
      <c r="J43" s="8">
        <v>7</v>
      </c>
      <c r="K43" s="8">
        <v>7</v>
      </c>
      <c r="L43" s="8">
        <v>7</v>
      </c>
    </row>
    <row r="44" spans="1:12">
      <c r="A44" s="39">
        <v>41</v>
      </c>
      <c r="B44" s="136" t="s">
        <v>77</v>
      </c>
      <c r="C44" s="123">
        <v>1</v>
      </c>
      <c r="D44" s="123"/>
      <c r="E44" s="17">
        <v>7</v>
      </c>
      <c r="F44" s="8">
        <v>7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7</v>
      </c>
    </row>
    <row r="45" spans="1:12">
      <c r="A45" s="76">
        <v>42</v>
      </c>
      <c r="B45" s="129" t="s">
        <v>39</v>
      </c>
      <c r="C45" s="121"/>
      <c r="D45" s="121">
        <v>1</v>
      </c>
      <c r="E45" s="79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</row>
    <row r="46" spans="1:12">
      <c r="A46" s="39">
        <v>43</v>
      </c>
      <c r="B46" s="136" t="s">
        <v>183</v>
      </c>
      <c r="C46" s="123">
        <v>1</v>
      </c>
      <c r="D46" s="123"/>
      <c r="E46" s="17">
        <v>7</v>
      </c>
      <c r="F46" s="8">
        <v>7</v>
      </c>
      <c r="G46" s="8">
        <v>7</v>
      </c>
      <c r="H46" s="8">
        <v>6</v>
      </c>
      <c r="I46" s="8">
        <v>6</v>
      </c>
      <c r="J46" s="8">
        <v>7</v>
      </c>
      <c r="K46" s="8">
        <v>7</v>
      </c>
      <c r="L46" s="8">
        <v>7</v>
      </c>
    </row>
    <row r="47" spans="1:12">
      <c r="A47" s="39">
        <v>44</v>
      </c>
      <c r="B47" s="135" t="s">
        <v>184</v>
      </c>
      <c r="C47" s="123">
        <v>1</v>
      </c>
      <c r="D47" s="123"/>
      <c r="E47" s="17">
        <v>7</v>
      </c>
      <c r="F47" s="8">
        <v>7</v>
      </c>
      <c r="G47" s="8">
        <v>7</v>
      </c>
      <c r="H47" s="8">
        <v>6</v>
      </c>
      <c r="I47" s="8">
        <v>6</v>
      </c>
      <c r="J47" s="8">
        <v>7</v>
      </c>
      <c r="K47" s="8">
        <v>7</v>
      </c>
      <c r="L47" s="8">
        <v>7</v>
      </c>
    </row>
    <row r="48" spans="1:12">
      <c r="A48" s="76">
        <v>45</v>
      </c>
      <c r="B48" s="129" t="s">
        <v>175</v>
      </c>
      <c r="C48" s="121"/>
      <c r="D48" s="121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12">
      <c r="A49" s="39">
        <v>46</v>
      </c>
      <c r="B49" s="136" t="s">
        <v>42</v>
      </c>
      <c r="C49" s="123">
        <v>1</v>
      </c>
      <c r="D49" s="123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81">
        <v>47</v>
      </c>
      <c r="B50" s="129" t="s">
        <v>120</v>
      </c>
      <c r="C50" s="121"/>
      <c r="D50" s="121">
        <v>1</v>
      </c>
      <c r="E50" s="79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</row>
    <row r="51" spans="1:12">
      <c r="A51" s="39">
        <v>48</v>
      </c>
      <c r="B51" s="136" t="s">
        <v>137</v>
      </c>
      <c r="C51" s="119">
        <v>1</v>
      </c>
      <c r="D51" s="123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39">
        <v>49</v>
      </c>
      <c r="B52" s="136" t="s">
        <v>106</v>
      </c>
      <c r="C52" s="123">
        <v>1</v>
      </c>
      <c r="D52" s="123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81">
        <v>50</v>
      </c>
      <c r="B53" s="129" t="s">
        <v>185</v>
      </c>
      <c r="C53" s="121"/>
      <c r="D53" s="121">
        <v>1</v>
      </c>
      <c r="E53" s="79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</row>
    <row r="54" spans="1:12">
      <c r="A54" s="29"/>
      <c r="B54" s="30"/>
      <c r="C54" s="4">
        <f>SUM(C4:C53)</f>
        <v>35</v>
      </c>
      <c r="D54" s="4">
        <f>SUM(D4:D53)</f>
        <v>15</v>
      </c>
    </row>
    <row r="55" spans="1:12">
      <c r="A55" s="29"/>
      <c r="B55" s="30"/>
      <c r="C55" s="45">
        <f>+C54/50</f>
        <v>0.7</v>
      </c>
      <c r="D55" s="45">
        <f>+D54/50</f>
        <v>0.3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30</v>
      </c>
      <c r="F58" s="64">
        <v>25</v>
      </c>
      <c r="G58" s="64">
        <v>30</v>
      </c>
      <c r="H58" s="64">
        <v>1</v>
      </c>
      <c r="I58" s="64">
        <v>11</v>
      </c>
      <c r="J58" s="64">
        <v>34</v>
      </c>
      <c r="K58" s="64">
        <v>34</v>
      </c>
      <c r="L58" s="65">
        <v>29</v>
      </c>
    </row>
    <row r="59" spans="1:12">
      <c r="A59" s="29"/>
      <c r="B59" s="30"/>
      <c r="C59" s="29"/>
      <c r="D59" s="69">
        <v>6</v>
      </c>
      <c r="E59" s="4">
        <v>5</v>
      </c>
      <c r="F59" s="4">
        <v>10</v>
      </c>
      <c r="G59" s="4">
        <v>5</v>
      </c>
      <c r="H59" s="4">
        <v>34</v>
      </c>
      <c r="I59" s="4">
        <v>24</v>
      </c>
      <c r="J59" s="4">
        <v>1</v>
      </c>
      <c r="K59" s="4">
        <v>1</v>
      </c>
      <c r="L59" s="66">
        <v>6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 t="shared" ref="E65:L65" si="0">SUM(E58:E64)</f>
        <v>35</v>
      </c>
      <c r="F65" s="4">
        <f t="shared" si="0"/>
        <v>35</v>
      </c>
      <c r="G65" s="4">
        <f t="shared" si="0"/>
        <v>35</v>
      </c>
      <c r="H65" s="4">
        <f t="shared" si="0"/>
        <v>35</v>
      </c>
      <c r="I65" s="4">
        <f t="shared" si="0"/>
        <v>35</v>
      </c>
      <c r="J65" s="4">
        <f t="shared" si="0"/>
        <v>35</v>
      </c>
      <c r="K65" s="4">
        <f t="shared" si="0"/>
        <v>35</v>
      </c>
      <c r="L65" s="4">
        <f t="shared" si="0"/>
        <v>35</v>
      </c>
    </row>
    <row r="66" spans="1:14">
      <c r="C66" s="1"/>
      <c r="D66" s="1"/>
    </row>
    <row r="67" spans="1:14">
      <c r="D67" s="28" t="s">
        <v>59</v>
      </c>
      <c r="E67" s="4">
        <f t="shared" ref="E67:L67" si="1">$C54*7</f>
        <v>245</v>
      </c>
      <c r="F67" s="4">
        <f t="shared" si="1"/>
        <v>245</v>
      </c>
      <c r="G67" s="4">
        <f t="shared" si="1"/>
        <v>245</v>
      </c>
      <c r="H67" s="4">
        <f t="shared" si="1"/>
        <v>245</v>
      </c>
      <c r="I67" s="4">
        <f t="shared" si="1"/>
        <v>245</v>
      </c>
      <c r="J67" s="4">
        <f t="shared" si="1"/>
        <v>245</v>
      </c>
      <c r="K67" s="4">
        <f t="shared" si="1"/>
        <v>245</v>
      </c>
      <c r="L67" s="4">
        <f t="shared" si="1"/>
        <v>245</v>
      </c>
      <c r="M67" s="89">
        <f>SUM(E67:L67)</f>
        <v>1960</v>
      </c>
    </row>
    <row r="68" spans="1:14" ht="17" thickBot="1">
      <c r="D68" s="28" t="s">
        <v>60</v>
      </c>
      <c r="E68" s="4">
        <f t="shared" ref="E68:L68" si="2">SUM(E4:E53)</f>
        <v>240</v>
      </c>
      <c r="F68" s="4">
        <f t="shared" si="2"/>
        <v>235</v>
      </c>
      <c r="G68" s="4">
        <f t="shared" si="2"/>
        <v>240</v>
      </c>
      <c r="H68" s="4">
        <f t="shared" si="2"/>
        <v>211</v>
      </c>
      <c r="I68" s="4">
        <f t="shared" si="2"/>
        <v>221</v>
      </c>
      <c r="J68" s="4">
        <f t="shared" si="2"/>
        <v>244</v>
      </c>
      <c r="K68" s="4">
        <f t="shared" si="2"/>
        <v>244</v>
      </c>
      <c r="L68" s="4">
        <f t="shared" si="2"/>
        <v>239</v>
      </c>
      <c r="M68" s="89">
        <f>SUM(E68:L68)</f>
        <v>1874</v>
      </c>
    </row>
    <row r="69" spans="1:14" ht="22.5" customHeight="1" thickBot="1">
      <c r="E69" s="45">
        <f t="shared" ref="E69:M69" si="3">+E68/E67</f>
        <v>0.97959183673469385</v>
      </c>
      <c r="F69" s="45">
        <f t="shared" si="3"/>
        <v>0.95918367346938771</v>
      </c>
      <c r="G69" s="45">
        <f t="shared" si="3"/>
        <v>0.97959183673469385</v>
      </c>
      <c r="H69" s="45">
        <f t="shared" si="3"/>
        <v>0.86122448979591837</v>
      </c>
      <c r="I69" s="45">
        <f t="shared" si="3"/>
        <v>0.90204081632653066</v>
      </c>
      <c r="J69" s="45">
        <f t="shared" si="3"/>
        <v>0.99591836734693873</v>
      </c>
      <c r="K69" s="45">
        <f t="shared" si="3"/>
        <v>0.99591836734693873</v>
      </c>
      <c r="L69" s="45">
        <f t="shared" si="3"/>
        <v>0.97551020408163269</v>
      </c>
      <c r="M69" s="115">
        <f t="shared" si="3"/>
        <v>0.95612244897959187</v>
      </c>
    </row>
    <row r="70" spans="1:14" ht="29.25" customHeight="1"/>
    <row r="71" spans="1:14" ht="31.5" customHeight="1">
      <c r="A71" s="132"/>
      <c r="B71" s="131" t="s">
        <v>63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3"/>
      <c r="N71" s="133"/>
    </row>
    <row r="72" spans="1:14" ht="31.5" customHeight="1">
      <c r="A72" s="132"/>
      <c r="B72" s="131" t="s">
        <v>188</v>
      </c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3"/>
      <c r="N72" s="133"/>
    </row>
    <row r="73" spans="1:14" ht="31.5" customHeight="1" thickBot="1">
      <c r="A73" s="132"/>
      <c r="B73" s="134" t="s">
        <v>189</v>
      </c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3"/>
      <c r="N73" s="133"/>
    </row>
    <row r="74" spans="1:14" ht="31.5" customHeight="1" thickBot="1">
      <c r="A74" s="132"/>
      <c r="B74" s="134" t="s">
        <v>154</v>
      </c>
      <c r="C74" s="132"/>
      <c r="D74" s="132"/>
      <c r="E74" s="132"/>
      <c r="F74" s="132"/>
      <c r="G74" s="132"/>
      <c r="H74" s="132"/>
      <c r="I74" s="132"/>
      <c r="J74" s="132"/>
      <c r="K74" s="132"/>
      <c r="L74" s="206" t="s">
        <v>92</v>
      </c>
      <c r="M74" s="207"/>
      <c r="N74" s="133"/>
    </row>
    <row r="75" spans="1:14" ht="31.5" customHeight="1">
      <c r="A75" s="132"/>
      <c r="B75" s="133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3"/>
      <c r="N75" s="133"/>
    </row>
  </sheetData>
  <mergeCells count="2">
    <mergeCell ref="D57:L57"/>
    <mergeCell ref="L74:M74"/>
  </mergeCells>
  <phoneticPr fontId="2" type="noConversion"/>
  <pageMargins left="0.98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59" sqref="L59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83203125" style="4" customWidth="1"/>
    <col min="13" max="13" width="5.83203125" style="89" customWidth="1"/>
    <col min="14" max="14" width="4.5" style="89" customWidth="1"/>
    <col min="15" max="16384" width="9" style="89"/>
  </cols>
  <sheetData>
    <row r="1" spans="1:12" ht="18">
      <c r="A1" s="27" t="s">
        <v>161</v>
      </c>
    </row>
    <row r="2" spans="1:12">
      <c r="A2" s="5"/>
    </row>
    <row r="3" spans="1:12" ht="108.75" customHeight="1">
      <c r="A3" s="8"/>
      <c r="B3" s="9"/>
      <c r="C3" s="86" t="s">
        <v>89</v>
      </c>
      <c r="D3" s="87" t="s">
        <v>90</v>
      </c>
      <c r="E3" s="127" t="s">
        <v>54</v>
      </c>
      <c r="F3" s="128" t="s">
        <v>50</v>
      </c>
      <c r="G3" s="128" t="s">
        <v>51</v>
      </c>
      <c r="H3" s="128" t="s">
        <v>52</v>
      </c>
      <c r="I3" s="128" t="s">
        <v>53</v>
      </c>
      <c r="J3" s="128" t="s">
        <v>56</v>
      </c>
      <c r="K3" s="128" t="s">
        <v>57</v>
      </c>
      <c r="L3" s="128" t="s">
        <v>55</v>
      </c>
    </row>
    <row r="4" spans="1:12">
      <c r="A4" s="81">
        <v>1</v>
      </c>
      <c r="B4" s="129" t="s">
        <v>1</v>
      </c>
      <c r="C4" s="121"/>
      <c r="D4" s="121"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</row>
    <row r="5" spans="1:12">
      <c r="A5" s="76">
        <v>2</v>
      </c>
      <c r="B5" s="130" t="s">
        <v>124</v>
      </c>
      <c r="C5" s="122"/>
      <c r="D5" s="121">
        <v>1</v>
      </c>
      <c r="E5" s="79">
        <v>0</v>
      </c>
      <c r="F5" s="80">
        <v>0</v>
      </c>
      <c r="G5" s="80">
        <v>0</v>
      </c>
      <c r="H5" s="80">
        <v>0</v>
      </c>
      <c r="I5" s="80">
        <v>0</v>
      </c>
      <c r="J5" s="80">
        <v>0</v>
      </c>
      <c r="K5" s="80">
        <v>0</v>
      </c>
      <c r="L5" s="80">
        <v>0</v>
      </c>
    </row>
    <row r="6" spans="1:12">
      <c r="A6" s="39">
        <v>3</v>
      </c>
      <c r="B6" s="125" t="s">
        <v>2</v>
      </c>
      <c r="C6" s="118">
        <v>1</v>
      </c>
      <c r="D6" s="118"/>
      <c r="E6" s="17">
        <v>7</v>
      </c>
      <c r="F6" s="8">
        <v>7</v>
      </c>
      <c r="G6" s="8">
        <v>7</v>
      </c>
      <c r="H6" s="8">
        <v>6</v>
      </c>
      <c r="I6" s="8">
        <v>7</v>
      </c>
      <c r="J6" s="8">
        <v>7</v>
      </c>
      <c r="K6" s="8">
        <v>7</v>
      </c>
      <c r="L6" s="8">
        <v>7</v>
      </c>
    </row>
    <row r="7" spans="1:12">
      <c r="A7" s="81">
        <v>4</v>
      </c>
      <c r="B7" s="130" t="s">
        <v>162</v>
      </c>
      <c r="C7" s="122"/>
      <c r="D7" s="121">
        <v>1</v>
      </c>
      <c r="E7" s="79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0">
        <v>0</v>
      </c>
    </row>
    <row r="8" spans="1:12">
      <c r="A8" s="39">
        <v>5</v>
      </c>
      <c r="B8" s="125" t="s">
        <v>10</v>
      </c>
      <c r="C8" s="118">
        <v>1</v>
      </c>
      <c r="D8" s="118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38">
        <v>6</v>
      </c>
      <c r="B9" s="125" t="s">
        <v>127</v>
      </c>
      <c r="C9" s="118">
        <v>1</v>
      </c>
      <c r="D9" s="118"/>
      <c r="E9" s="17">
        <v>7</v>
      </c>
      <c r="F9" s="8">
        <v>7</v>
      </c>
      <c r="G9" s="8">
        <v>7</v>
      </c>
      <c r="H9" s="8">
        <v>6</v>
      </c>
      <c r="I9" s="8">
        <v>7</v>
      </c>
      <c r="J9" s="8">
        <v>7</v>
      </c>
      <c r="K9" s="8">
        <v>7</v>
      </c>
      <c r="L9" s="8">
        <v>7</v>
      </c>
    </row>
    <row r="10" spans="1:12">
      <c r="A10" s="39">
        <v>7</v>
      </c>
      <c r="B10" s="125" t="s">
        <v>96</v>
      </c>
      <c r="C10" s="119">
        <v>1</v>
      </c>
      <c r="D10" s="118"/>
      <c r="E10" s="17">
        <v>7</v>
      </c>
      <c r="F10" s="8">
        <v>7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7</v>
      </c>
    </row>
    <row r="11" spans="1:12">
      <c r="A11" s="39">
        <v>8</v>
      </c>
      <c r="B11" s="125" t="s">
        <v>163</v>
      </c>
      <c r="C11" s="118">
        <v>1</v>
      </c>
      <c r="D11" s="118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</row>
    <row r="12" spans="1:12">
      <c r="A12" s="76">
        <v>9</v>
      </c>
      <c r="B12" s="130" t="s">
        <v>164</v>
      </c>
      <c r="C12" s="121"/>
      <c r="D12" s="121">
        <v>1</v>
      </c>
      <c r="E12" s="79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0">
        <v>0</v>
      </c>
    </row>
    <row r="13" spans="1:12">
      <c r="A13" s="38">
        <v>10</v>
      </c>
      <c r="B13" s="125" t="s">
        <v>165</v>
      </c>
      <c r="C13" s="119">
        <v>1</v>
      </c>
      <c r="D13" s="118"/>
      <c r="E13" s="17">
        <v>7</v>
      </c>
      <c r="F13" s="8">
        <v>7</v>
      </c>
      <c r="G13" s="8">
        <v>7</v>
      </c>
      <c r="H13" s="8">
        <v>6</v>
      </c>
      <c r="I13" s="8">
        <v>7</v>
      </c>
      <c r="J13" s="8">
        <v>7</v>
      </c>
      <c r="K13" s="8">
        <v>7</v>
      </c>
      <c r="L13" s="8">
        <v>7</v>
      </c>
    </row>
    <row r="14" spans="1:12">
      <c r="A14" s="38">
        <v>11</v>
      </c>
      <c r="B14" s="125" t="s">
        <v>97</v>
      </c>
      <c r="C14" s="118">
        <v>1</v>
      </c>
      <c r="D14" s="118"/>
      <c r="E14" s="17">
        <v>7</v>
      </c>
      <c r="F14" s="8">
        <v>7</v>
      </c>
      <c r="G14" s="8">
        <v>7</v>
      </c>
      <c r="H14" s="8">
        <v>7</v>
      </c>
      <c r="I14" s="8">
        <v>7</v>
      </c>
      <c r="J14" s="8">
        <v>7</v>
      </c>
      <c r="K14" s="8">
        <v>7</v>
      </c>
      <c r="L14" s="8">
        <v>7</v>
      </c>
    </row>
    <row r="15" spans="1:12">
      <c r="A15" s="39">
        <v>12</v>
      </c>
      <c r="B15" s="125" t="s">
        <v>166</v>
      </c>
      <c r="C15" s="119">
        <v>1</v>
      </c>
      <c r="D15" s="118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</row>
    <row r="16" spans="1:12">
      <c r="A16" s="81">
        <v>13</v>
      </c>
      <c r="B16" s="130" t="s">
        <v>129</v>
      </c>
      <c r="C16" s="122"/>
      <c r="D16" s="121">
        <v>1</v>
      </c>
      <c r="E16" s="79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</row>
    <row r="17" spans="1:12">
      <c r="A17" s="38">
        <v>14</v>
      </c>
      <c r="B17" s="125" t="s">
        <v>101</v>
      </c>
      <c r="C17" s="119">
        <v>1</v>
      </c>
      <c r="D17" s="118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</row>
    <row r="18" spans="1:12">
      <c r="A18" s="39">
        <v>15</v>
      </c>
      <c r="B18" s="125" t="s">
        <v>22</v>
      </c>
      <c r="C18" s="118">
        <v>1</v>
      </c>
      <c r="D18" s="118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</row>
    <row r="19" spans="1:12">
      <c r="A19" s="39">
        <v>16</v>
      </c>
      <c r="B19" s="125" t="s">
        <v>167</v>
      </c>
      <c r="C19" s="118">
        <v>1</v>
      </c>
      <c r="D19" s="118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 s="1" customFormat="1">
      <c r="A20" s="39">
        <v>17</v>
      </c>
      <c r="B20" s="125" t="s">
        <v>24</v>
      </c>
      <c r="C20" s="119">
        <v>1</v>
      </c>
      <c r="D20" s="118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</row>
    <row r="21" spans="1:12">
      <c r="A21" s="76">
        <v>18</v>
      </c>
      <c r="B21" s="130" t="s">
        <v>168</v>
      </c>
      <c r="C21" s="121"/>
      <c r="D21" s="121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</row>
    <row r="22" spans="1:12">
      <c r="A22" s="76">
        <v>19</v>
      </c>
      <c r="B22" s="130" t="s">
        <v>169</v>
      </c>
      <c r="C22" s="121"/>
      <c r="D22" s="121">
        <v>1</v>
      </c>
      <c r="E22" s="79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</row>
    <row r="23" spans="1:12">
      <c r="A23" s="39">
        <v>20</v>
      </c>
      <c r="B23" s="125" t="s">
        <v>170</v>
      </c>
      <c r="C23" s="118">
        <v>1</v>
      </c>
      <c r="D23" s="118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</row>
    <row r="24" spans="1:12">
      <c r="A24" s="39">
        <v>21</v>
      </c>
      <c r="B24" s="125" t="s">
        <v>70</v>
      </c>
      <c r="C24" s="118">
        <v>1</v>
      </c>
      <c r="D24" s="118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38">
        <v>22</v>
      </c>
      <c r="B25" s="125" t="s">
        <v>71</v>
      </c>
      <c r="C25" s="118">
        <v>1</v>
      </c>
      <c r="D25" s="118"/>
      <c r="E25" s="17">
        <v>7</v>
      </c>
      <c r="F25" s="8">
        <v>7</v>
      </c>
      <c r="G25" s="8">
        <v>7</v>
      </c>
      <c r="H25" s="8">
        <v>6</v>
      </c>
      <c r="I25" s="8">
        <v>7</v>
      </c>
      <c r="J25" s="8">
        <v>7</v>
      </c>
      <c r="K25" s="8">
        <v>7</v>
      </c>
      <c r="L25" s="8">
        <v>7</v>
      </c>
    </row>
    <row r="26" spans="1:12">
      <c r="A26" s="39">
        <v>23</v>
      </c>
      <c r="B26" s="125" t="s">
        <v>72</v>
      </c>
      <c r="C26" s="118">
        <v>1</v>
      </c>
      <c r="D26" s="118"/>
      <c r="E26" s="17">
        <v>7</v>
      </c>
      <c r="F26" s="8">
        <v>7</v>
      </c>
      <c r="G26" s="8">
        <v>7</v>
      </c>
      <c r="H26" s="8">
        <v>6</v>
      </c>
      <c r="I26" s="8">
        <v>6</v>
      </c>
      <c r="J26" s="8">
        <v>7</v>
      </c>
      <c r="K26" s="8">
        <v>7</v>
      </c>
      <c r="L26" s="8">
        <v>7</v>
      </c>
    </row>
    <row r="27" spans="1:12">
      <c r="A27" s="39">
        <v>24</v>
      </c>
      <c r="B27" s="125" t="s">
        <v>73</v>
      </c>
      <c r="C27" s="118">
        <v>1</v>
      </c>
      <c r="D27" s="118"/>
      <c r="E27" s="17">
        <v>7</v>
      </c>
      <c r="F27" s="8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</row>
    <row r="28" spans="1:12">
      <c r="A28" s="39">
        <v>25</v>
      </c>
      <c r="B28" s="126" t="s">
        <v>171</v>
      </c>
      <c r="C28" s="118">
        <v>1</v>
      </c>
      <c r="D28" s="118"/>
      <c r="E28" s="17">
        <v>7</v>
      </c>
      <c r="F28" s="8">
        <v>6</v>
      </c>
      <c r="G28" s="8">
        <v>6</v>
      </c>
      <c r="H28" s="8">
        <v>6</v>
      </c>
      <c r="I28" s="8">
        <v>6</v>
      </c>
      <c r="J28" s="8">
        <v>7</v>
      </c>
      <c r="K28" s="8">
        <v>7</v>
      </c>
      <c r="L28" s="8">
        <v>7</v>
      </c>
    </row>
    <row r="29" spans="1:12">
      <c r="A29" s="39">
        <v>26</v>
      </c>
      <c r="B29" s="125" t="s">
        <v>32</v>
      </c>
      <c r="C29" s="118">
        <v>1</v>
      </c>
      <c r="D29" s="118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12">
      <c r="A30" s="39">
        <v>27</v>
      </c>
      <c r="B30" s="125" t="s">
        <v>104</v>
      </c>
      <c r="C30" s="118">
        <v>1</v>
      </c>
      <c r="D30" s="118"/>
      <c r="E30" s="17">
        <v>7</v>
      </c>
      <c r="F30" s="8">
        <v>6</v>
      </c>
      <c r="G30" s="8">
        <v>6</v>
      </c>
      <c r="H30" s="8">
        <v>6</v>
      </c>
      <c r="I30" s="8">
        <v>6</v>
      </c>
      <c r="J30" s="8">
        <v>7</v>
      </c>
      <c r="K30" s="8">
        <v>7</v>
      </c>
      <c r="L30" s="8">
        <v>7</v>
      </c>
    </row>
    <row r="31" spans="1:12">
      <c r="A31" s="39">
        <v>28</v>
      </c>
      <c r="B31" s="125" t="s">
        <v>33</v>
      </c>
      <c r="C31" s="118">
        <v>1</v>
      </c>
      <c r="D31" s="118"/>
      <c r="E31" s="17">
        <v>7</v>
      </c>
      <c r="F31" s="8">
        <v>7</v>
      </c>
      <c r="G31" s="8">
        <v>7</v>
      </c>
      <c r="H31" s="8">
        <v>6</v>
      </c>
      <c r="I31" s="8">
        <v>7</v>
      </c>
      <c r="J31" s="8">
        <v>7</v>
      </c>
      <c r="K31" s="8">
        <v>7</v>
      </c>
      <c r="L31" s="8">
        <v>7</v>
      </c>
    </row>
    <row r="32" spans="1:12">
      <c r="A32" s="39">
        <v>29</v>
      </c>
      <c r="B32" s="125" t="s">
        <v>172</v>
      </c>
      <c r="C32" s="119">
        <v>1</v>
      </c>
      <c r="D32" s="118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</row>
    <row r="33" spans="1:12">
      <c r="A33" s="76">
        <v>30</v>
      </c>
      <c r="B33" s="130" t="s">
        <v>173</v>
      </c>
      <c r="C33" s="122"/>
      <c r="D33" s="121">
        <v>1</v>
      </c>
      <c r="E33" s="79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0">
        <v>0</v>
      </c>
    </row>
    <row r="34" spans="1:12">
      <c r="A34" s="39">
        <v>31</v>
      </c>
      <c r="B34" s="125" t="s">
        <v>132</v>
      </c>
      <c r="C34" s="119">
        <v>1</v>
      </c>
      <c r="D34" s="118"/>
      <c r="E34" s="17">
        <v>7</v>
      </c>
      <c r="F34" s="8">
        <v>7</v>
      </c>
      <c r="G34" s="8">
        <v>7</v>
      </c>
      <c r="H34" s="8">
        <v>6</v>
      </c>
      <c r="I34" s="8">
        <v>7</v>
      </c>
      <c r="J34" s="8">
        <v>7</v>
      </c>
      <c r="K34" s="8">
        <v>7</v>
      </c>
      <c r="L34" s="8">
        <v>7</v>
      </c>
    </row>
    <row r="35" spans="1:12">
      <c r="A35" s="38">
        <v>32</v>
      </c>
      <c r="B35" s="125" t="s">
        <v>147</v>
      </c>
      <c r="C35" s="118">
        <v>1</v>
      </c>
      <c r="D35" s="118"/>
      <c r="E35" s="17">
        <v>7</v>
      </c>
      <c r="F35" s="8">
        <v>6</v>
      </c>
      <c r="G35" s="8">
        <v>6</v>
      </c>
      <c r="H35" s="8">
        <v>6</v>
      </c>
      <c r="I35" s="8">
        <v>6</v>
      </c>
      <c r="J35" s="8">
        <v>7</v>
      </c>
      <c r="K35" s="8">
        <v>7</v>
      </c>
      <c r="L35" s="8">
        <v>7</v>
      </c>
    </row>
    <row r="36" spans="1:12">
      <c r="A36" s="39">
        <v>33</v>
      </c>
      <c r="B36" s="125" t="s">
        <v>116</v>
      </c>
      <c r="C36" s="119">
        <v>1</v>
      </c>
      <c r="D36" s="118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</row>
    <row r="37" spans="1:12">
      <c r="A37" s="39">
        <v>34</v>
      </c>
      <c r="B37" s="126" t="s">
        <v>34</v>
      </c>
      <c r="C37" s="119">
        <v>1</v>
      </c>
      <c r="D37" s="118"/>
      <c r="E37" s="17">
        <v>7</v>
      </c>
      <c r="F37" s="8">
        <v>7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7</v>
      </c>
    </row>
    <row r="38" spans="1:12">
      <c r="A38" s="39">
        <v>35</v>
      </c>
      <c r="B38" s="125" t="s">
        <v>117</v>
      </c>
      <c r="C38" s="118">
        <v>1</v>
      </c>
      <c r="D38" s="118"/>
      <c r="E38" s="17">
        <v>7</v>
      </c>
      <c r="F38" s="17">
        <v>7</v>
      </c>
      <c r="G38" s="17">
        <v>7</v>
      </c>
      <c r="H38" s="17">
        <v>7</v>
      </c>
      <c r="I38" s="17">
        <v>7</v>
      </c>
      <c r="J38" s="8">
        <v>7</v>
      </c>
      <c r="K38" s="8">
        <v>7</v>
      </c>
      <c r="L38" s="8">
        <v>7</v>
      </c>
    </row>
    <row r="39" spans="1:12">
      <c r="A39" s="39">
        <v>36</v>
      </c>
      <c r="B39" s="126" t="s">
        <v>135</v>
      </c>
      <c r="C39" s="118">
        <v>1</v>
      </c>
      <c r="D39" s="118"/>
      <c r="E39" s="17">
        <v>7</v>
      </c>
      <c r="F39" s="8">
        <v>6</v>
      </c>
      <c r="G39" s="8">
        <v>6</v>
      </c>
      <c r="H39" s="8">
        <v>6</v>
      </c>
      <c r="I39" s="8">
        <v>6</v>
      </c>
      <c r="J39" s="8">
        <v>7</v>
      </c>
      <c r="K39" s="8">
        <v>7</v>
      </c>
      <c r="L39" s="8">
        <v>7</v>
      </c>
    </row>
    <row r="40" spans="1:12">
      <c r="A40" s="76">
        <v>37</v>
      </c>
      <c r="B40" s="130" t="s">
        <v>174</v>
      </c>
      <c r="C40" s="122"/>
      <c r="D40" s="121">
        <v>1</v>
      </c>
      <c r="E40" s="79">
        <v>0</v>
      </c>
      <c r="F40" s="80">
        <v>0</v>
      </c>
      <c r="G40" s="80">
        <v>0</v>
      </c>
      <c r="H40" s="80">
        <v>0</v>
      </c>
      <c r="I40" s="80">
        <v>0</v>
      </c>
      <c r="J40" s="80">
        <v>0</v>
      </c>
      <c r="K40" s="80">
        <v>0</v>
      </c>
      <c r="L40" s="80">
        <v>0</v>
      </c>
    </row>
    <row r="41" spans="1:12">
      <c r="A41" s="39">
        <v>38</v>
      </c>
      <c r="B41" s="125" t="s">
        <v>148</v>
      </c>
      <c r="C41" s="119">
        <v>1</v>
      </c>
      <c r="D41" s="118"/>
      <c r="E41" s="17">
        <v>7</v>
      </c>
      <c r="F41" s="8">
        <v>7</v>
      </c>
      <c r="G41" s="8">
        <v>7</v>
      </c>
      <c r="H41" s="8">
        <v>6</v>
      </c>
      <c r="I41" s="8">
        <v>7</v>
      </c>
      <c r="J41" s="8">
        <v>7</v>
      </c>
      <c r="K41" s="8">
        <v>7</v>
      </c>
      <c r="L41" s="8">
        <v>7</v>
      </c>
    </row>
    <row r="42" spans="1:12">
      <c r="A42" s="39">
        <v>39</v>
      </c>
      <c r="B42" s="125" t="s">
        <v>76</v>
      </c>
      <c r="C42" s="119">
        <v>1</v>
      </c>
      <c r="D42" s="118"/>
      <c r="E42" s="17">
        <v>7</v>
      </c>
      <c r="F42" s="8">
        <v>7</v>
      </c>
      <c r="G42" s="8">
        <v>7</v>
      </c>
      <c r="H42" s="8">
        <v>6</v>
      </c>
      <c r="I42" s="8">
        <v>7</v>
      </c>
      <c r="J42" s="8">
        <v>7</v>
      </c>
      <c r="K42" s="8">
        <v>7</v>
      </c>
      <c r="L42" s="8">
        <v>7</v>
      </c>
    </row>
    <row r="43" spans="1:12">
      <c r="A43" s="39">
        <v>40</v>
      </c>
      <c r="B43" s="125" t="s">
        <v>38</v>
      </c>
      <c r="C43" s="119">
        <v>1</v>
      </c>
      <c r="D43" s="118"/>
      <c r="E43" s="17">
        <v>7</v>
      </c>
      <c r="F43" s="8">
        <v>7</v>
      </c>
      <c r="G43" s="8">
        <v>7</v>
      </c>
      <c r="H43" s="8">
        <v>6</v>
      </c>
      <c r="I43" s="8">
        <v>7</v>
      </c>
      <c r="J43" s="8">
        <v>7</v>
      </c>
      <c r="K43" s="8">
        <v>7</v>
      </c>
      <c r="L43" s="8">
        <v>7</v>
      </c>
    </row>
    <row r="44" spans="1:12">
      <c r="A44" s="39">
        <v>41</v>
      </c>
      <c r="B44" s="125" t="s">
        <v>77</v>
      </c>
      <c r="C44" s="118">
        <v>1</v>
      </c>
      <c r="D44" s="118"/>
      <c r="E44" s="17">
        <v>7</v>
      </c>
      <c r="F44" s="8">
        <v>7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7</v>
      </c>
    </row>
    <row r="45" spans="1:12">
      <c r="A45" s="39">
        <v>42</v>
      </c>
      <c r="B45" s="125" t="s">
        <v>40</v>
      </c>
      <c r="C45" s="118">
        <v>1</v>
      </c>
      <c r="D45" s="118"/>
      <c r="E45" s="17">
        <v>7</v>
      </c>
      <c r="F45" s="8">
        <v>7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7</v>
      </c>
    </row>
    <row r="46" spans="1:12">
      <c r="A46" s="76">
        <v>43</v>
      </c>
      <c r="B46" s="129" t="s">
        <v>119</v>
      </c>
      <c r="C46" s="121"/>
      <c r="D46" s="121">
        <v>1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12">
      <c r="A47" s="76">
        <v>44</v>
      </c>
      <c r="B47" s="130" t="s">
        <v>175</v>
      </c>
      <c r="C47" s="121"/>
      <c r="D47" s="121"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12">
      <c r="A48" s="39">
        <v>45</v>
      </c>
      <c r="B48" s="125" t="s">
        <v>42</v>
      </c>
      <c r="C48" s="118">
        <v>1</v>
      </c>
      <c r="D48" s="118"/>
      <c r="E48" s="17">
        <v>7</v>
      </c>
      <c r="F48" s="8">
        <v>7</v>
      </c>
      <c r="G48" s="8">
        <v>7</v>
      </c>
      <c r="H48" s="8">
        <v>6</v>
      </c>
      <c r="I48" s="8">
        <v>7</v>
      </c>
      <c r="J48" s="8">
        <v>7</v>
      </c>
      <c r="K48" s="8">
        <v>7</v>
      </c>
      <c r="L48" s="8">
        <v>7</v>
      </c>
    </row>
    <row r="49" spans="1:12">
      <c r="A49" s="39">
        <v>46</v>
      </c>
      <c r="B49" s="125" t="s">
        <v>43</v>
      </c>
      <c r="C49" s="118">
        <v>1</v>
      </c>
      <c r="D49" s="118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38">
        <v>47</v>
      </c>
      <c r="B50" s="125" t="s">
        <v>120</v>
      </c>
      <c r="C50" s="118">
        <v>1</v>
      </c>
      <c r="D50" s="118"/>
      <c r="E50" s="17">
        <v>6</v>
      </c>
      <c r="F50" s="8">
        <v>6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6</v>
      </c>
    </row>
    <row r="51" spans="1:12">
      <c r="A51" s="39">
        <v>48</v>
      </c>
      <c r="B51" s="125" t="s">
        <v>137</v>
      </c>
      <c r="C51" s="119">
        <v>1</v>
      </c>
      <c r="D51" s="118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39">
        <v>49</v>
      </c>
      <c r="B52" s="125" t="s">
        <v>106</v>
      </c>
      <c r="C52" s="118">
        <v>1</v>
      </c>
      <c r="D52" s="118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38">
        <v>50</v>
      </c>
      <c r="B53" s="125" t="s">
        <v>107</v>
      </c>
      <c r="C53" s="118">
        <v>1</v>
      </c>
      <c r="D53" s="120"/>
      <c r="E53" s="17">
        <v>7</v>
      </c>
      <c r="F53" s="8">
        <v>7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7</v>
      </c>
    </row>
    <row r="54" spans="1:12">
      <c r="A54" s="29"/>
      <c r="B54" s="30"/>
      <c r="C54" s="4">
        <f>SUM(C4:C53)</f>
        <v>39</v>
      </c>
      <c r="D54" s="4">
        <f>SUM(D4:D53)</f>
        <v>11</v>
      </c>
    </row>
    <row r="55" spans="1:12">
      <c r="A55" s="29"/>
      <c r="B55" s="30"/>
      <c r="C55" s="45">
        <f>+C54/50</f>
        <v>0.78</v>
      </c>
      <c r="D55" s="45">
        <f>+D54/50</f>
        <v>0.22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32</v>
      </c>
      <c r="F58" s="64">
        <v>27</v>
      </c>
      <c r="G58" s="64">
        <v>34</v>
      </c>
      <c r="H58" s="64">
        <v>4</v>
      </c>
      <c r="I58" s="64">
        <v>16</v>
      </c>
      <c r="J58" s="64">
        <v>38</v>
      </c>
      <c r="K58" s="64">
        <v>38</v>
      </c>
      <c r="L58" s="65">
        <v>31</v>
      </c>
    </row>
    <row r="59" spans="1:12">
      <c r="A59" s="29"/>
      <c r="B59" s="30"/>
      <c r="C59" s="29"/>
      <c r="D59" s="69">
        <v>6</v>
      </c>
      <c r="E59" s="4">
        <v>7</v>
      </c>
      <c r="F59" s="4">
        <v>12</v>
      </c>
      <c r="G59" s="4">
        <v>5</v>
      </c>
      <c r="H59" s="4">
        <v>35</v>
      </c>
      <c r="I59" s="4">
        <v>23</v>
      </c>
      <c r="J59" s="4">
        <v>1</v>
      </c>
      <c r="K59" s="4">
        <v>1</v>
      </c>
      <c r="L59" s="66">
        <v>8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1:14">
      <c r="C65" s="1"/>
      <c r="D65" s="1"/>
      <c r="E65" s="4">
        <f t="shared" ref="E65:L65" si="0">SUM(E58:E64)</f>
        <v>39</v>
      </c>
      <c r="F65" s="4">
        <f t="shared" si="0"/>
        <v>39</v>
      </c>
      <c r="G65" s="4">
        <f t="shared" si="0"/>
        <v>39</v>
      </c>
      <c r="H65" s="4">
        <f t="shared" si="0"/>
        <v>39</v>
      </c>
      <c r="I65" s="4">
        <f t="shared" si="0"/>
        <v>39</v>
      </c>
      <c r="J65" s="4">
        <f t="shared" si="0"/>
        <v>39</v>
      </c>
      <c r="K65" s="4">
        <f t="shared" si="0"/>
        <v>39</v>
      </c>
      <c r="L65" s="4">
        <f t="shared" si="0"/>
        <v>39</v>
      </c>
    </row>
    <row r="66" spans="1:14">
      <c r="C66" s="1"/>
      <c r="D66" s="1"/>
    </row>
    <row r="67" spans="1:14">
      <c r="D67" s="28" t="s">
        <v>59</v>
      </c>
      <c r="E67" s="4">
        <f t="shared" ref="E67:L67" si="1">$C54*7</f>
        <v>273</v>
      </c>
      <c r="F67" s="4">
        <f t="shared" si="1"/>
        <v>273</v>
      </c>
      <c r="G67" s="4">
        <f t="shared" si="1"/>
        <v>273</v>
      </c>
      <c r="H67" s="4">
        <f t="shared" si="1"/>
        <v>273</v>
      </c>
      <c r="I67" s="4">
        <f t="shared" si="1"/>
        <v>273</v>
      </c>
      <c r="J67" s="4">
        <f t="shared" si="1"/>
        <v>273</v>
      </c>
      <c r="K67" s="4">
        <f t="shared" si="1"/>
        <v>273</v>
      </c>
      <c r="L67" s="4">
        <f t="shared" si="1"/>
        <v>273</v>
      </c>
      <c r="M67" s="89">
        <f>SUM(E67:L67)</f>
        <v>2184</v>
      </c>
    </row>
    <row r="68" spans="1:14" ht="17" thickBot="1">
      <c r="D68" s="28" t="s">
        <v>60</v>
      </c>
      <c r="E68" s="4">
        <f t="shared" ref="E68:L68" si="2">SUM(E4:E53)</f>
        <v>266</v>
      </c>
      <c r="F68" s="4">
        <f t="shared" si="2"/>
        <v>261</v>
      </c>
      <c r="G68" s="4">
        <f t="shared" si="2"/>
        <v>268</v>
      </c>
      <c r="H68" s="4">
        <f t="shared" si="2"/>
        <v>238</v>
      </c>
      <c r="I68" s="4">
        <f t="shared" si="2"/>
        <v>250</v>
      </c>
      <c r="J68" s="4">
        <f t="shared" si="2"/>
        <v>272</v>
      </c>
      <c r="K68" s="4">
        <f t="shared" si="2"/>
        <v>272</v>
      </c>
      <c r="L68" s="4">
        <f t="shared" si="2"/>
        <v>265</v>
      </c>
      <c r="M68" s="89">
        <f>SUM(E68:L68)</f>
        <v>2092</v>
      </c>
    </row>
    <row r="69" spans="1:14" ht="22.5" customHeight="1" thickBot="1">
      <c r="E69" s="45">
        <f t="shared" ref="E69:M69" si="3">+E68/E67</f>
        <v>0.97435897435897434</v>
      </c>
      <c r="F69" s="45">
        <f t="shared" si="3"/>
        <v>0.95604395604395609</v>
      </c>
      <c r="G69" s="45">
        <f t="shared" si="3"/>
        <v>0.98168498168498164</v>
      </c>
      <c r="H69" s="45">
        <f t="shared" si="3"/>
        <v>0.87179487179487181</v>
      </c>
      <c r="I69" s="45">
        <f t="shared" si="3"/>
        <v>0.91575091575091572</v>
      </c>
      <c r="J69" s="45">
        <f t="shared" si="3"/>
        <v>0.99633699633699635</v>
      </c>
      <c r="K69" s="45">
        <f t="shared" si="3"/>
        <v>0.99633699633699635</v>
      </c>
      <c r="L69" s="45">
        <f t="shared" si="3"/>
        <v>0.97069597069597069</v>
      </c>
      <c r="M69" s="115">
        <f t="shared" si="3"/>
        <v>0.95787545787545791</v>
      </c>
    </row>
    <row r="70" spans="1:14" ht="29.25" customHeight="1"/>
    <row r="71" spans="1:14" ht="31.5" customHeight="1">
      <c r="A71" s="132"/>
      <c r="B71" s="131" t="s">
        <v>63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3"/>
      <c r="N71" s="133"/>
    </row>
    <row r="72" spans="1:14" ht="31.5" customHeight="1">
      <c r="A72" s="132"/>
      <c r="B72" s="131" t="s">
        <v>176</v>
      </c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3"/>
      <c r="N72" s="133"/>
    </row>
    <row r="73" spans="1:14" ht="31.5" customHeight="1" thickBot="1">
      <c r="A73" s="132"/>
      <c r="B73" s="134" t="s">
        <v>177</v>
      </c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3"/>
      <c r="N73" s="133"/>
    </row>
    <row r="74" spans="1:14" ht="31.5" customHeight="1" thickBot="1">
      <c r="A74" s="132"/>
      <c r="B74" s="134" t="s">
        <v>178</v>
      </c>
      <c r="C74" s="132"/>
      <c r="D74" s="132"/>
      <c r="E74" s="132"/>
      <c r="F74" s="132"/>
      <c r="G74" s="132"/>
      <c r="H74" s="132"/>
      <c r="I74" s="132"/>
      <c r="J74" s="132"/>
      <c r="K74" s="132"/>
      <c r="L74" s="206" t="s">
        <v>92</v>
      </c>
      <c r="M74" s="207"/>
      <c r="N74" s="133"/>
    </row>
    <row r="75" spans="1:14" ht="31.5" customHeight="1">
      <c r="A75" s="132"/>
      <c r="B75" s="133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3"/>
      <c r="N75" s="133"/>
    </row>
  </sheetData>
  <mergeCells count="2">
    <mergeCell ref="D57:L57"/>
    <mergeCell ref="L74:M74"/>
  </mergeCells>
  <phoneticPr fontId="2" type="noConversion"/>
  <pageMargins left="0.98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4"/>
  <sheetViews>
    <sheetView zoomScaleNormal="100" workbookViewId="0">
      <selection activeCell="B18" sqref="B18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83203125" style="4" customWidth="1"/>
    <col min="13" max="13" width="5.83203125" style="89" customWidth="1"/>
    <col min="14" max="16384" width="9" style="89"/>
  </cols>
  <sheetData>
    <row r="1" spans="1:12" ht="18">
      <c r="A1" s="27" t="s">
        <v>156</v>
      </c>
    </row>
    <row r="2" spans="1:12">
      <c r="A2" s="5"/>
    </row>
    <row r="3" spans="1:12" ht="107.25" customHeight="1">
      <c r="A3" s="8"/>
      <c r="B3" s="9"/>
      <c r="C3" s="86" t="s">
        <v>89</v>
      </c>
      <c r="D3" s="87" t="s">
        <v>90</v>
      </c>
      <c r="E3" s="84" t="s">
        <v>54</v>
      </c>
      <c r="F3" s="85" t="s">
        <v>50</v>
      </c>
      <c r="G3" s="85" t="s">
        <v>51</v>
      </c>
      <c r="H3" s="85" t="s">
        <v>52</v>
      </c>
      <c r="I3" s="85" t="s">
        <v>53</v>
      </c>
      <c r="J3" s="85" t="s">
        <v>56</v>
      </c>
      <c r="K3" s="85" t="s">
        <v>57</v>
      </c>
      <c r="L3" s="85" t="s">
        <v>55</v>
      </c>
    </row>
    <row r="4" spans="1:12">
      <c r="A4" s="81">
        <v>1</v>
      </c>
      <c r="B4" s="77" t="str">
        <f>+'[2]7-14'!$B4</f>
        <v>CDI (Macau)</v>
      </c>
      <c r="C4" s="121"/>
      <c r="D4" s="121"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</row>
    <row r="5" spans="1:12">
      <c r="A5" s="39">
        <v>2</v>
      </c>
      <c r="B5" s="72" t="str">
        <f>+'[2]7-14'!$B5</f>
        <v>Cemac</v>
      </c>
      <c r="C5" s="119">
        <v>1</v>
      </c>
      <c r="D5" s="123"/>
      <c r="E5" s="17">
        <v>7</v>
      </c>
      <c r="F5" s="8">
        <v>7</v>
      </c>
      <c r="G5" s="8">
        <v>7</v>
      </c>
      <c r="H5" s="8">
        <v>7</v>
      </c>
      <c r="I5" s="8">
        <v>7</v>
      </c>
      <c r="J5" s="8">
        <v>7</v>
      </c>
      <c r="K5" s="8">
        <v>7</v>
      </c>
      <c r="L5" s="8">
        <v>7</v>
      </c>
    </row>
    <row r="6" spans="1:12">
      <c r="A6" s="76">
        <v>3</v>
      </c>
      <c r="B6" s="77" t="str">
        <f>+'[2]7-14'!$B6</f>
        <v>Chi Ko (Macau)</v>
      </c>
      <c r="C6" s="121"/>
      <c r="D6" s="121">
        <v>1</v>
      </c>
      <c r="E6" s="79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>
        <v>0</v>
      </c>
      <c r="L6" s="80">
        <v>0</v>
      </c>
    </row>
    <row r="7" spans="1:12">
      <c r="A7" s="81">
        <v>4</v>
      </c>
      <c r="B7" s="77" t="str">
        <f>+'[2]7-14'!$B7</f>
        <v>Colmat</v>
      </c>
      <c r="C7" s="122"/>
      <c r="D7" s="121">
        <v>1</v>
      </c>
      <c r="E7" s="79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0">
        <v>0</v>
      </c>
    </row>
    <row r="8" spans="1:12">
      <c r="A8" s="39">
        <v>5</v>
      </c>
      <c r="B8" s="72" t="str">
        <f>+'[2]7-14'!$B8</f>
        <v>Fat Cheong</v>
      </c>
      <c r="C8" s="123">
        <v>1</v>
      </c>
      <c r="D8" s="123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81">
        <v>6</v>
      </c>
      <c r="B9" s="77" t="str">
        <f>+'[2]7-14'!$B9</f>
        <v>Full Gold ( Macau)</v>
      </c>
      <c r="C9" s="121"/>
      <c r="D9" s="121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</row>
    <row r="10" spans="1:12">
      <c r="A10" s="39">
        <v>7</v>
      </c>
      <c r="B10" s="72" t="str">
        <f>+'[2]7-14'!$B10</f>
        <v>H.K.Shanghai Building Mat'l (PG)</v>
      </c>
      <c r="C10" s="119">
        <v>1</v>
      </c>
      <c r="D10" s="123"/>
      <c r="E10" s="17">
        <v>7</v>
      </c>
      <c r="F10" s="8">
        <v>7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7</v>
      </c>
    </row>
    <row r="11" spans="1:12">
      <c r="A11" s="39">
        <v>8</v>
      </c>
      <c r="B11" s="72" t="str">
        <f>+'[2]7-14'!$B11</f>
        <v>Hip Shing</v>
      </c>
      <c r="C11" s="123">
        <v>1</v>
      </c>
      <c r="D11" s="123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</row>
    <row r="12" spans="1:12">
      <c r="A12" s="39">
        <v>9</v>
      </c>
      <c r="B12" s="72" t="str">
        <f>+'[2]7-14'!$B12</f>
        <v>Hoi Luen</v>
      </c>
      <c r="C12" s="123">
        <v>1</v>
      </c>
      <c r="D12" s="123"/>
      <c r="E12" s="17">
        <v>7</v>
      </c>
      <c r="F12" s="8">
        <v>7</v>
      </c>
      <c r="G12" s="8">
        <v>7</v>
      </c>
      <c r="H12" s="8">
        <v>7</v>
      </c>
      <c r="I12" s="8">
        <v>7</v>
      </c>
      <c r="J12" s="8">
        <v>7</v>
      </c>
      <c r="K12" s="8">
        <v>7</v>
      </c>
      <c r="L12" s="8">
        <v>7</v>
      </c>
    </row>
    <row r="13" spans="1:12">
      <c r="A13" s="81">
        <v>10</v>
      </c>
      <c r="B13" s="77" t="str">
        <f>+'[2]7-14'!$B13</f>
        <v>Hong Sang (Macau)</v>
      </c>
      <c r="C13" s="122"/>
      <c r="D13" s="121">
        <v>1</v>
      </c>
      <c r="E13" s="79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</row>
    <row r="14" spans="1:12">
      <c r="A14" s="38">
        <v>11</v>
      </c>
      <c r="B14" s="72" t="str">
        <f>+'[2]7-14'!$B14</f>
        <v>Kai Cheong</v>
      </c>
      <c r="C14" s="123">
        <v>1</v>
      </c>
      <c r="D14" s="123"/>
      <c r="E14" s="17">
        <v>7</v>
      </c>
      <c r="F14" s="8">
        <v>7</v>
      </c>
      <c r="G14" s="8">
        <v>7</v>
      </c>
      <c r="H14" s="8">
        <v>7</v>
      </c>
      <c r="I14" s="8">
        <v>7</v>
      </c>
      <c r="J14" s="8">
        <v>7</v>
      </c>
      <c r="K14" s="8">
        <v>7</v>
      </c>
      <c r="L14" s="8">
        <v>7</v>
      </c>
    </row>
    <row r="15" spans="1:12">
      <c r="A15" s="39">
        <v>12</v>
      </c>
      <c r="B15" s="72" t="str">
        <f>+'[2]7-14'!$B15</f>
        <v>Kassel Park (PG)</v>
      </c>
      <c r="C15" s="119">
        <v>1</v>
      </c>
      <c r="D15" s="123"/>
      <c r="E15" s="17">
        <v>7</v>
      </c>
      <c r="F15" s="8">
        <v>7</v>
      </c>
      <c r="G15" s="8">
        <v>7</v>
      </c>
      <c r="H15" s="8">
        <v>6</v>
      </c>
      <c r="I15" s="8">
        <v>6</v>
      </c>
      <c r="J15" s="8">
        <v>7</v>
      </c>
      <c r="K15" s="8">
        <v>7</v>
      </c>
      <c r="L15" s="8">
        <v>7</v>
      </c>
    </row>
    <row r="16" spans="1:12">
      <c r="A16" s="38">
        <v>13</v>
      </c>
      <c r="B16" s="72" t="str">
        <f>+'[2]7-14'!$B16</f>
        <v>Keep Born Ltd.</v>
      </c>
      <c r="C16" s="119">
        <v>1</v>
      </c>
      <c r="D16" s="123"/>
      <c r="E16" s="17">
        <v>7</v>
      </c>
      <c r="F16" s="8">
        <v>7</v>
      </c>
      <c r="G16" s="8">
        <v>7</v>
      </c>
      <c r="H16" s="8">
        <v>6</v>
      </c>
      <c r="I16" s="8">
        <v>7</v>
      </c>
      <c r="J16" s="8">
        <v>6</v>
      </c>
      <c r="K16" s="8">
        <v>6</v>
      </c>
      <c r="L16" s="8">
        <v>7</v>
      </c>
    </row>
    <row r="17" spans="1:12">
      <c r="A17" s="38">
        <v>14</v>
      </c>
      <c r="B17" s="72" t="str">
        <f>+'[2]7-14'!$B17</f>
        <v>Kingbird       (45days)</v>
      </c>
      <c r="C17" s="119">
        <v>1</v>
      </c>
      <c r="D17" s="123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</row>
    <row r="18" spans="1:12">
      <c r="A18" s="39">
        <v>15</v>
      </c>
      <c r="B18" s="72" t="str">
        <f>+'[2]7-14'!$B18</f>
        <v>Kwok Fung (PG) / Tung Sing</v>
      </c>
      <c r="C18" s="123">
        <v>1</v>
      </c>
      <c r="D18" s="123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</row>
    <row r="19" spans="1:12">
      <c r="A19" s="39">
        <v>16</v>
      </c>
      <c r="B19" s="72" t="str">
        <f>+'[2]7-14'!$B19</f>
        <v>Kwong Hing (Mr. Tam)</v>
      </c>
      <c r="C19" s="123">
        <v>1</v>
      </c>
      <c r="D19" s="123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 s="1" customFormat="1">
      <c r="A20" s="39">
        <v>17</v>
      </c>
      <c r="B20" s="72" t="str">
        <f>+'[2]7-14'!$B20</f>
        <v>Lee Woon</v>
      </c>
      <c r="C20" s="119">
        <v>1</v>
      </c>
      <c r="D20" s="123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</row>
    <row r="21" spans="1:12">
      <c r="A21" s="76">
        <v>18</v>
      </c>
      <c r="B21" s="77" t="str">
        <f>+'[2]7-14'!$B21</f>
        <v>Listo</v>
      </c>
      <c r="C21" s="121"/>
      <c r="D21" s="121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</row>
    <row r="22" spans="1:12">
      <c r="A22" s="39">
        <v>19</v>
      </c>
      <c r="B22" s="72" t="str">
        <f>+'[2]7-14'!$B22</f>
        <v>Lucky Wide</v>
      </c>
      <c r="C22" s="123">
        <v>1</v>
      </c>
      <c r="D22" s="123"/>
      <c r="E22" s="17">
        <v>6</v>
      </c>
      <c r="F22" s="8">
        <v>7</v>
      </c>
      <c r="G22" s="8">
        <v>7</v>
      </c>
      <c r="H22" s="8">
        <v>6</v>
      </c>
      <c r="I22" s="8">
        <v>7</v>
      </c>
      <c r="J22" s="8">
        <v>7</v>
      </c>
      <c r="K22" s="8">
        <v>7</v>
      </c>
      <c r="L22" s="8">
        <v>7</v>
      </c>
    </row>
    <row r="23" spans="1:12">
      <c r="A23" s="39">
        <v>20</v>
      </c>
      <c r="B23" s="72" t="str">
        <f>+'[2]7-14'!$B23</f>
        <v>Lyon</v>
      </c>
      <c r="C23" s="123">
        <v>1</v>
      </c>
      <c r="D23" s="123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</row>
    <row r="24" spans="1:12">
      <c r="A24" s="39">
        <v>21</v>
      </c>
      <c r="B24" s="72" t="str">
        <f>+'[2]7-14'!$B24</f>
        <v>Major Field</v>
      </c>
      <c r="C24" s="123">
        <v>1</v>
      </c>
      <c r="D24" s="123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81">
        <v>22</v>
      </c>
      <c r="B25" s="77" t="str">
        <f>+'[2]7-14'!$B25</f>
        <v>Man Kin (Macau)</v>
      </c>
      <c r="C25" s="121"/>
      <c r="D25" s="121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</row>
    <row r="26" spans="1:12">
      <c r="A26" s="39">
        <v>23</v>
      </c>
      <c r="B26" s="72" t="str">
        <f>+'[2]7-14'!$B26</f>
        <v>Ming Fung</v>
      </c>
      <c r="C26" s="123">
        <v>1</v>
      </c>
      <c r="D26" s="123"/>
      <c r="E26" s="17">
        <v>7</v>
      </c>
      <c r="F26" s="8">
        <v>7</v>
      </c>
      <c r="G26" s="8">
        <v>7</v>
      </c>
      <c r="H26" s="8">
        <v>6</v>
      </c>
      <c r="I26" s="8">
        <v>6</v>
      </c>
      <c r="J26" s="8">
        <v>7</v>
      </c>
      <c r="K26" s="8">
        <v>7</v>
      </c>
      <c r="L26" s="8">
        <v>7</v>
      </c>
    </row>
    <row r="27" spans="1:12">
      <c r="A27" s="39">
        <v>24</v>
      </c>
      <c r="B27" s="72" t="str">
        <f>+'[2]7-14'!$B27</f>
        <v>Ming Hing</v>
      </c>
      <c r="C27" s="123">
        <v>1</v>
      </c>
      <c r="D27" s="123"/>
      <c r="E27" s="17">
        <v>7</v>
      </c>
      <c r="F27" s="8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</row>
    <row r="28" spans="1:12">
      <c r="A28" s="39">
        <v>25</v>
      </c>
      <c r="B28" s="72" t="str">
        <f>+'[2]7-14'!$B28</f>
        <v>Perfect Profit</v>
      </c>
      <c r="C28" s="123">
        <v>1</v>
      </c>
      <c r="D28" s="123"/>
      <c r="E28" s="17">
        <v>7</v>
      </c>
      <c r="F28" s="8">
        <v>6</v>
      </c>
      <c r="G28" s="8">
        <v>6</v>
      </c>
      <c r="H28" s="8">
        <v>6</v>
      </c>
      <c r="I28" s="8">
        <v>6</v>
      </c>
      <c r="J28" s="8">
        <v>7</v>
      </c>
      <c r="K28" s="8">
        <v>7</v>
      </c>
      <c r="L28" s="8">
        <v>7</v>
      </c>
    </row>
    <row r="29" spans="1:12">
      <c r="A29" s="76">
        <v>26</v>
      </c>
      <c r="B29" s="77" t="str">
        <f>+'[2]7-14'!$B29</f>
        <v>Po Li O (Macau)</v>
      </c>
      <c r="C29" s="121"/>
      <c r="D29" s="121">
        <v>1</v>
      </c>
      <c r="E29" s="79">
        <v>0</v>
      </c>
      <c r="F29" s="80">
        <v>0</v>
      </c>
      <c r="G29" s="80">
        <v>0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</row>
    <row r="30" spans="1:12">
      <c r="A30" s="39">
        <v>27</v>
      </c>
      <c r="B30" s="72" t="str">
        <f>+'[2]7-14'!$B30</f>
        <v>Rambo Const.</v>
      </c>
      <c r="C30" s="123">
        <v>1</v>
      </c>
      <c r="D30" s="123"/>
      <c r="E30" s="17">
        <v>7</v>
      </c>
      <c r="F30" s="8">
        <v>6</v>
      </c>
      <c r="G30" s="8">
        <v>6</v>
      </c>
      <c r="H30" s="8">
        <v>6</v>
      </c>
      <c r="I30" s="8">
        <v>6</v>
      </c>
      <c r="J30" s="8">
        <v>7</v>
      </c>
      <c r="K30" s="8">
        <v>7</v>
      </c>
      <c r="L30" s="8">
        <v>7</v>
      </c>
    </row>
    <row r="31" spans="1:12">
      <c r="A31" s="76">
        <v>28</v>
      </c>
      <c r="B31" s="77" t="str">
        <f>+'[2]7-14'!$B31</f>
        <v>Sam Bo (Macau)</v>
      </c>
      <c r="C31" s="121"/>
      <c r="D31" s="121">
        <v>1</v>
      </c>
      <c r="E31" s="79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>
        <v>0</v>
      </c>
      <c r="L31" s="80">
        <v>0</v>
      </c>
    </row>
    <row r="32" spans="1:12">
      <c r="A32" s="39">
        <v>29</v>
      </c>
      <c r="B32" s="72" t="str">
        <f>+'[2]7-14'!$B32</f>
        <v>San Cheong Long</v>
      </c>
      <c r="C32" s="119">
        <v>1</v>
      </c>
      <c r="D32" s="123"/>
      <c r="E32" s="17">
        <v>7</v>
      </c>
      <c r="F32" s="8">
        <v>6</v>
      </c>
      <c r="G32" s="8">
        <v>6</v>
      </c>
      <c r="H32" s="8">
        <v>6</v>
      </c>
      <c r="I32" s="8">
        <v>6</v>
      </c>
      <c r="J32" s="8">
        <v>7</v>
      </c>
      <c r="K32" s="8">
        <v>7</v>
      </c>
      <c r="L32" s="8">
        <v>7</v>
      </c>
    </row>
    <row r="33" spans="1:12">
      <c r="A33" s="39">
        <v>30</v>
      </c>
      <c r="B33" s="72" t="str">
        <f>+'[2]7-14'!$B33</f>
        <v>Sandic Eng. 9023 0033</v>
      </c>
      <c r="C33" s="119">
        <v>1</v>
      </c>
      <c r="D33" s="123"/>
      <c r="E33" s="17">
        <v>7</v>
      </c>
      <c r="F33" s="8">
        <v>7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7</v>
      </c>
    </row>
    <row r="34" spans="1:12">
      <c r="A34" s="76">
        <v>31</v>
      </c>
      <c r="B34" s="77" t="str">
        <f>+'[2]7-14'!$B34</f>
        <v>Shen Zhuang (Macau)</v>
      </c>
      <c r="C34" s="122"/>
      <c r="D34" s="121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</row>
    <row r="35" spans="1:12">
      <c r="A35" s="38">
        <v>32</v>
      </c>
      <c r="B35" s="72" t="str">
        <f>+'[2]7-14'!$B35</f>
        <v>Sum Lee</v>
      </c>
      <c r="C35" s="123">
        <v>1</v>
      </c>
      <c r="D35" s="123"/>
      <c r="E35" s="17">
        <v>7</v>
      </c>
      <c r="F35" s="8">
        <v>6</v>
      </c>
      <c r="G35" s="8">
        <v>6</v>
      </c>
      <c r="H35" s="8">
        <v>6</v>
      </c>
      <c r="I35" s="8">
        <v>6</v>
      </c>
      <c r="J35" s="8">
        <v>7</v>
      </c>
      <c r="K35" s="8">
        <v>7</v>
      </c>
      <c r="L35" s="8">
        <v>7</v>
      </c>
    </row>
    <row r="36" spans="1:12">
      <c r="A36" s="39">
        <v>33</v>
      </c>
      <c r="B36" s="72" t="str">
        <f>+'[2]7-14'!$B36</f>
        <v>Tak Sum</v>
      </c>
      <c r="C36" s="119">
        <v>1</v>
      </c>
      <c r="D36" s="123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</row>
    <row r="37" spans="1:12">
      <c r="A37" s="39">
        <v>34</v>
      </c>
      <c r="B37" s="72" t="str">
        <f>+'[2]7-14'!$B37</f>
        <v>Tang Tat</v>
      </c>
      <c r="C37" s="123">
        <v>1</v>
      </c>
      <c r="D37" s="123"/>
      <c r="E37" s="17">
        <v>7</v>
      </c>
      <c r="F37" s="8">
        <v>7</v>
      </c>
      <c r="G37" s="8">
        <v>7</v>
      </c>
      <c r="H37" s="8">
        <v>6</v>
      </c>
      <c r="I37" s="8">
        <v>6</v>
      </c>
      <c r="J37" s="8">
        <v>7</v>
      </c>
      <c r="K37" s="8">
        <v>7</v>
      </c>
      <c r="L37" s="8">
        <v>7</v>
      </c>
    </row>
    <row r="38" spans="1:12">
      <c r="A38" s="39">
        <v>35</v>
      </c>
      <c r="B38" s="72" t="str">
        <f>+'[2]7-14'!$B38</f>
        <v>Tin Bo (15th)</v>
      </c>
      <c r="C38" s="123">
        <v>1</v>
      </c>
      <c r="D38" s="123"/>
      <c r="E38" s="17">
        <v>7</v>
      </c>
      <c r="F38" s="17">
        <v>7</v>
      </c>
      <c r="G38" s="17">
        <v>7</v>
      </c>
      <c r="H38" s="17">
        <v>7</v>
      </c>
      <c r="I38" s="17">
        <v>7</v>
      </c>
      <c r="J38" s="8">
        <v>7</v>
      </c>
      <c r="K38" s="8">
        <v>7</v>
      </c>
      <c r="L38" s="8">
        <v>7</v>
      </c>
    </row>
    <row r="39" spans="1:12">
      <c r="A39" s="39">
        <v>36</v>
      </c>
      <c r="B39" s="72" t="str">
        <f>+'[2]7-14'!$B39</f>
        <v>Tin Fai (Mrs. Lau)</v>
      </c>
      <c r="C39" s="123">
        <v>1</v>
      </c>
      <c r="D39" s="123"/>
      <c r="E39" s="17">
        <v>7</v>
      </c>
      <c r="F39" s="8">
        <v>6</v>
      </c>
      <c r="G39" s="8">
        <v>6</v>
      </c>
      <c r="H39" s="8">
        <v>6</v>
      </c>
      <c r="I39" s="8">
        <v>6</v>
      </c>
      <c r="J39" s="8">
        <v>7</v>
      </c>
      <c r="K39" s="8">
        <v>7</v>
      </c>
      <c r="L39" s="8">
        <v>7</v>
      </c>
    </row>
    <row r="40" spans="1:12">
      <c r="A40" s="39">
        <v>37</v>
      </c>
      <c r="B40" s="72" t="str">
        <f>+'[2]7-14'!$B40</f>
        <v>Tin Pa</v>
      </c>
      <c r="C40" s="119">
        <v>1</v>
      </c>
      <c r="D40" s="123"/>
      <c r="E40" s="17">
        <v>7</v>
      </c>
      <c r="F40" s="8">
        <v>6</v>
      </c>
      <c r="G40" s="8">
        <v>6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</row>
    <row r="41" spans="1:12">
      <c r="A41" s="76">
        <v>38</v>
      </c>
      <c r="B41" s="77" t="str">
        <f>+'[2]7-14'!$B41</f>
        <v>Top Art (PG) (Mr.Chu)</v>
      </c>
      <c r="C41" s="122"/>
      <c r="D41" s="121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</row>
    <row r="42" spans="1:12">
      <c r="A42" s="76">
        <v>39</v>
      </c>
      <c r="B42" s="77" t="str">
        <f>+'[2]7-14'!$B42</f>
        <v>Usefull (裕豐)</v>
      </c>
      <c r="C42" s="122"/>
      <c r="D42" s="121"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12">
      <c r="A43" s="76">
        <v>40</v>
      </c>
      <c r="B43" s="77" t="str">
        <f>+'[2]7-14'!$B43</f>
        <v>Vaford</v>
      </c>
      <c r="C43" s="122"/>
      <c r="D43" s="121">
        <v>1</v>
      </c>
      <c r="E43" s="79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>
        <v>0</v>
      </c>
      <c r="L43" s="80">
        <v>0</v>
      </c>
    </row>
    <row r="44" spans="1:12">
      <c r="A44" s="39">
        <v>41</v>
      </c>
      <c r="B44" s="72" t="str">
        <f>+'[2]7-14'!$B44</f>
        <v>Wah Bo (PG)</v>
      </c>
      <c r="C44" s="123">
        <v>1</v>
      </c>
      <c r="D44" s="123"/>
      <c r="E44" s="17">
        <v>7</v>
      </c>
      <c r="F44" s="8">
        <v>7</v>
      </c>
      <c r="G44" s="8">
        <v>7</v>
      </c>
      <c r="H44" s="8">
        <v>6</v>
      </c>
      <c r="I44" s="8">
        <v>6</v>
      </c>
      <c r="J44" s="8">
        <v>7</v>
      </c>
      <c r="K44" s="8">
        <v>7</v>
      </c>
      <c r="L44" s="8">
        <v>7</v>
      </c>
    </row>
    <row r="45" spans="1:12">
      <c r="A45" s="39">
        <v>42</v>
      </c>
      <c r="B45" s="72" t="str">
        <f>+'[2]7-14'!$B45</f>
        <v>Wah Fai</v>
      </c>
      <c r="C45" s="123">
        <v>1</v>
      </c>
      <c r="D45" s="123"/>
      <c r="E45" s="17">
        <v>7</v>
      </c>
      <c r="F45" s="8">
        <v>7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7</v>
      </c>
    </row>
    <row r="46" spans="1:12">
      <c r="A46" s="39">
        <v>43</v>
      </c>
      <c r="B46" s="72" t="str">
        <f>+'[2]7-14'!$B46</f>
        <v>Wah Fai Eng. Co. ( To )</v>
      </c>
      <c r="C46" s="123">
        <v>1</v>
      </c>
      <c r="D46" s="123"/>
      <c r="E46" s="17">
        <v>6</v>
      </c>
      <c r="F46" s="8">
        <v>6</v>
      </c>
      <c r="G46" s="8">
        <v>7</v>
      </c>
      <c r="H46" s="8">
        <v>6</v>
      </c>
      <c r="I46" s="8">
        <v>6</v>
      </c>
      <c r="J46" s="8">
        <v>7</v>
      </c>
      <c r="K46" s="8">
        <v>7</v>
      </c>
      <c r="L46" s="8">
        <v>6</v>
      </c>
    </row>
    <row r="47" spans="1:12">
      <c r="A47" s="76">
        <v>44</v>
      </c>
      <c r="B47" s="77" t="str">
        <f>+'[2]7-14'!$B47</f>
        <v>Wai Ming M &amp; E / David Mat'l (PG)</v>
      </c>
      <c r="C47" s="121"/>
      <c r="D47" s="121"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12">
      <c r="A48" s="76">
        <v>45</v>
      </c>
      <c r="B48" s="77" t="str">
        <f>+'[2]7-14'!$B48</f>
        <v>Welltech Eng.</v>
      </c>
      <c r="C48" s="121"/>
      <c r="D48" s="121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12">
      <c r="A49" s="39">
        <v>46</v>
      </c>
      <c r="B49" s="72" t="str">
        <f>+'[2]7-14'!$B49</f>
        <v>Widespread (Ms. Tammy)</v>
      </c>
      <c r="C49" s="123">
        <v>1</v>
      </c>
      <c r="D49" s="123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38">
        <v>47</v>
      </c>
      <c r="B50" s="72" t="str">
        <f>+'[2]7-14'!$B50</f>
        <v>Wing Kee</v>
      </c>
      <c r="C50" s="123">
        <v>1</v>
      </c>
      <c r="D50" s="123"/>
      <c r="E50" s="17">
        <v>6</v>
      </c>
      <c r="F50" s="8">
        <v>6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6</v>
      </c>
    </row>
    <row r="51" spans="1:12">
      <c r="A51" s="39">
        <v>48</v>
      </c>
      <c r="B51" s="72" t="str">
        <f>+'[2]7-14'!$B51</f>
        <v>Wing Yip (PG)</v>
      </c>
      <c r="C51" s="119">
        <v>1</v>
      </c>
      <c r="D51" s="123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39">
        <v>49</v>
      </c>
      <c r="B52" s="72" t="str">
        <f>+'[2]7-14'!$B52</f>
        <v>Wong Hing</v>
      </c>
      <c r="C52" s="123">
        <v>1</v>
      </c>
      <c r="D52" s="123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38">
        <v>50</v>
      </c>
      <c r="B53" s="72" t="str">
        <f>+'[2]7-14'!$B53</f>
        <v>Ying Fu</v>
      </c>
      <c r="C53" s="123">
        <v>1</v>
      </c>
      <c r="D53" s="124"/>
      <c r="E53" s="17">
        <v>7</v>
      </c>
      <c r="F53" s="8">
        <v>7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7</v>
      </c>
    </row>
    <row r="54" spans="1:12">
      <c r="A54" s="29"/>
      <c r="B54" s="30"/>
      <c r="C54" s="4">
        <f>SUM(C4:C53)</f>
        <v>35</v>
      </c>
      <c r="D54" s="4">
        <f>SUM(D4:D53)</f>
        <v>15</v>
      </c>
    </row>
    <row r="55" spans="1:12">
      <c r="A55" s="29"/>
      <c r="B55" s="30"/>
      <c r="C55" s="45">
        <f>+C54/50</f>
        <v>0.7</v>
      </c>
      <c r="D55" s="45">
        <f>+D54/50</f>
        <v>0.3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26</v>
      </c>
      <c r="F58" s="64">
        <v>20</v>
      </c>
      <c r="G58" s="64">
        <v>29</v>
      </c>
      <c r="H58" s="64">
        <v>6</v>
      </c>
      <c r="I58" s="64">
        <v>9</v>
      </c>
      <c r="J58" s="64">
        <v>33</v>
      </c>
      <c r="K58" s="64">
        <v>33</v>
      </c>
      <c r="L58" s="65">
        <v>26</v>
      </c>
    </row>
    <row r="59" spans="1:12">
      <c r="A59" s="29"/>
      <c r="B59" s="30"/>
      <c r="C59" s="29"/>
      <c r="D59" s="69">
        <v>6</v>
      </c>
      <c r="E59" s="4">
        <v>9</v>
      </c>
      <c r="F59" s="4">
        <v>15</v>
      </c>
      <c r="G59" s="4">
        <v>6</v>
      </c>
      <c r="H59" s="4">
        <v>29</v>
      </c>
      <c r="I59" s="4">
        <v>26</v>
      </c>
      <c r="J59" s="4">
        <v>2</v>
      </c>
      <c r="K59" s="4">
        <v>2</v>
      </c>
      <c r="L59" s="66">
        <v>9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0">SUM(E58:E64)</f>
        <v>35</v>
      </c>
      <c r="F65" s="4">
        <f t="shared" si="0"/>
        <v>35</v>
      </c>
      <c r="G65" s="4">
        <f t="shared" si="0"/>
        <v>35</v>
      </c>
      <c r="H65" s="4">
        <f t="shared" si="0"/>
        <v>35</v>
      </c>
      <c r="I65" s="4">
        <f t="shared" si="0"/>
        <v>35</v>
      </c>
      <c r="J65" s="4">
        <f t="shared" si="0"/>
        <v>35</v>
      </c>
      <c r="K65" s="4">
        <f t="shared" si="0"/>
        <v>35</v>
      </c>
      <c r="L65" s="4">
        <f t="shared" si="0"/>
        <v>35</v>
      </c>
    </row>
    <row r="66" spans="2:13">
      <c r="C66" s="1"/>
      <c r="D66" s="1"/>
    </row>
    <row r="67" spans="2:13">
      <c r="D67" s="28" t="s">
        <v>59</v>
      </c>
      <c r="E67" s="4">
        <f>$C54*7</f>
        <v>245</v>
      </c>
      <c r="F67" s="4">
        <f t="shared" ref="F67:L67" si="1">$C54*7</f>
        <v>245</v>
      </c>
      <c r="G67" s="4">
        <f t="shared" si="1"/>
        <v>245</v>
      </c>
      <c r="H67" s="4">
        <f t="shared" si="1"/>
        <v>245</v>
      </c>
      <c r="I67" s="4">
        <f t="shared" si="1"/>
        <v>245</v>
      </c>
      <c r="J67" s="4">
        <f t="shared" si="1"/>
        <v>245</v>
      </c>
      <c r="K67" s="4">
        <f t="shared" si="1"/>
        <v>245</v>
      </c>
      <c r="L67" s="4">
        <f t="shared" si="1"/>
        <v>245</v>
      </c>
      <c r="M67" s="89">
        <f>SUM(E67:L67)</f>
        <v>1960</v>
      </c>
    </row>
    <row r="68" spans="2:13" ht="17" thickBot="1">
      <c r="D68" s="28" t="s">
        <v>60</v>
      </c>
      <c r="E68" s="4">
        <f t="shared" ref="E68:L68" si="2">SUM(E4:E53)</f>
        <v>236</v>
      </c>
      <c r="F68" s="4">
        <f t="shared" si="2"/>
        <v>231</v>
      </c>
      <c r="G68" s="4">
        <f t="shared" si="2"/>
        <v>239</v>
      </c>
      <c r="H68" s="4">
        <f t="shared" si="2"/>
        <v>216</v>
      </c>
      <c r="I68" s="4">
        <f t="shared" si="2"/>
        <v>219</v>
      </c>
      <c r="J68" s="4">
        <f t="shared" si="2"/>
        <v>243</v>
      </c>
      <c r="K68" s="4">
        <f t="shared" si="2"/>
        <v>243</v>
      </c>
      <c r="L68" s="4">
        <f t="shared" si="2"/>
        <v>236</v>
      </c>
      <c r="M68" s="89">
        <f>SUM(E68:L68)</f>
        <v>1863</v>
      </c>
    </row>
    <row r="69" spans="2:13" ht="22.5" customHeight="1" thickBot="1">
      <c r="E69" s="45">
        <f t="shared" ref="E69:M69" si="3">+E68/E67</f>
        <v>0.96326530612244898</v>
      </c>
      <c r="F69" s="45">
        <f t="shared" si="3"/>
        <v>0.94285714285714284</v>
      </c>
      <c r="G69" s="45">
        <f t="shared" si="3"/>
        <v>0.97551020408163269</v>
      </c>
      <c r="H69" s="45">
        <f t="shared" si="3"/>
        <v>0.88163265306122451</v>
      </c>
      <c r="I69" s="45">
        <f t="shared" si="3"/>
        <v>0.89387755102040811</v>
      </c>
      <c r="J69" s="45">
        <f t="shared" si="3"/>
        <v>0.99183673469387756</v>
      </c>
      <c r="K69" s="45">
        <f t="shared" si="3"/>
        <v>0.99183673469387756</v>
      </c>
      <c r="L69" s="45">
        <f t="shared" si="3"/>
        <v>0.96326530612244898</v>
      </c>
      <c r="M69" s="115">
        <f t="shared" si="3"/>
        <v>0.95051020408163267</v>
      </c>
    </row>
    <row r="71" spans="2:13">
      <c r="B71" s="62" t="s">
        <v>63</v>
      </c>
    </row>
    <row r="72" spans="2:13">
      <c r="B72" s="62" t="s">
        <v>157</v>
      </c>
    </row>
    <row r="73" spans="2:13" ht="17" thickBot="1">
      <c r="B73" s="63" t="s">
        <v>158</v>
      </c>
    </row>
    <row r="74" spans="2:13" ht="17.25" customHeight="1" thickBot="1">
      <c r="B74" s="63" t="s">
        <v>109</v>
      </c>
      <c r="L74" s="204" t="s">
        <v>92</v>
      </c>
      <c r="M74" s="205"/>
    </row>
  </sheetData>
  <mergeCells count="2">
    <mergeCell ref="D57:L57"/>
    <mergeCell ref="L74:M74"/>
  </mergeCells>
  <phoneticPr fontId="2" type="noConversion"/>
  <pageMargins left="1.1499999999999999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4"/>
  <sheetViews>
    <sheetView zoomScaleNormal="100" workbookViewId="0">
      <selection activeCell="B4" sqref="B4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83203125" style="4" customWidth="1"/>
    <col min="13" max="13" width="6.83203125" style="1" customWidth="1"/>
    <col min="14" max="14" width="9" style="1"/>
    <col min="15" max="28" width="5.5" style="1" customWidth="1"/>
    <col min="29" max="16384" width="9" style="1"/>
  </cols>
  <sheetData>
    <row r="1" spans="1:12" ht="18">
      <c r="A1" s="27" t="s">
        <v>155</v>
      </c>
    </row>
    <row r="2" spans="1:12">
      <c r="A2" s="5"/>
    </row>
    <row r="3" spans="1:12" ht="107.25" customHeight="1">
      <c r="A3" s="8"/>
      <c r="B3" s="9"/>
      <c r="C3" s="86" t="s">
        <v>89</v>
      </c>
      <c r="D3" s="87" t="s">
        <v>90</v>
      </c>
      <c r="E3" s="84" t="s">
        <v>54</v>
      </c>
      <c r="F3" s="85" t="s">
        <v>50</v>
      </c>
      <c r="G3" s="85" t="s">
        <v>51</v>
      </c>
      <c r="H3" s="85" t="s">
        <v>52</v>
      </c>
      <c r="I3" s="85" t="s">
        <v>53</v>
      </c>
      <c r="J3" s="85" t="s">
        <v>56</v>
      </c>
      <c r="K3" s="85" t="s">
        <v>57</v>
      </c>
      <c r="L3" s="85" t="s">
        <v>55</v>
      </c>
    </row>
    <row r="4" spans="1:12">
      <c r="A4" s="81">
        <v>1</v>
      </c>
      <c r="B4" s="77" t="e">
        <f>+'[2]7-14'!#REF!</f>
        <v>#REF!</v>
      </c>
      <c r="C4" s="121"/>
      <c r="D4" s="121">
        <f>+'[2]7-14'!E4</f>
        <v>1</v>
      </c>
      <c r="E4" s="79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0</v>
      </c>
      <c r="L4" s="80">
        <v>0</v>
      </c>
    </row>
    <row r="5" spans="1:12">
      <c r="A5" s="39">
        <v>2</v>
      </c>
      <c r="B5" s="72" t="e">
        <f>+'[2]7-14'!#REF!</f>
        <v>#REF!</v>
      </c>
      <c r="C5" s="123">
        <f>+'[2]7-14'!D5</f>
        <v>1</v>
      </c>
      <c r="D5" s="123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</row>
    <row r="6" spans="1:12">
      <c r="A6" s="39">
        <v>3</v>
      </c>
      <c r="B6" s="72" t="e">
        <f>+'[2]7-14'!#REF!</f>
        <v>#REF!</v>
      </c>
      <c r="C6" s="123">
        <f>+'[2]7-14'!D6</f>
        <v>0</v>
      </c>
      <c r="D6" s="123"/>
      <c r="E6" s="17">
        <v>7</v>
      </c>
      <c r="F6" s="8">
        <v>7</v>
      </c>
      <c r="G6" s="8">
        <v>7</v>
      </c>
      <c r="H6" s="8">
        <v>6</v>
      </c>
      <c r="I6" s="8">
        <v>7</v>
      </c>
      <c r="J6" s="8">
        <v>7</v>
      </c>
      <c r="K6" s="8">
        <v>7</v>
      </c>
      <c r="L6" s="8">
        <v>7</v>
      </c>
    </row>
    <row r="7" spans="1:12">
      <c r="A7" s="81">
        <v>4</v>
      </c>
      <c r="B7" s="77" t="e">
        <f>+'[2]7-14'!#REF!</f>
        <v>#REF!</v>
      </c>
      <c r="C7" s="121"/>
      <c r="D7" s="121">
        <f>+'[2]7-14'!E7</f>
        <v>1</v>
      </c>
      <c r="E7" s="79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0">
        <v>0</v>
      </c>
    </row>
    <row r="8" spans="1:12">
      <c r="A8" s="39">
        <v>5</v>
      </c>
      <c r="B8" s="72" t="e">
        <f>+'[2]7-14'!#REF!</f>
        <v>#REF!</v>
      </c>
      <c r="C8" s="123">
        <f>+'[2]7-14'!D8</f>
        <v>1</v>
      </c>
      <c r="D8" s="123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38">
        <v>6</v>
      </c>
      <c r="B9" s="72" t="e">
        <f>+'[2]7-14'!#REF!</f>
        <v>#REF!</v>
      </c>
      <c r="C9" s="123">
        <f>+'[2]7-14'!D9</f>
        <v>0</v>
      </c>
      <c r="D9" s="123"/>
      <c r="E9" s="17">
        <v>7</v>
      </c>
      <c r="F9" s="8">
        <v>7</v>
      </c>
      <c r="G9" s="8">
        <v>7</v>
      </c>
      <c r="H9" s="8">
        <v>6</v>
      </c>
      <c r="I9" s="8">
        <v>7</v>
      </c>
      <c r="J9" s="8">
        <v>7</v>
      </c>
      <c r="K9" s="8">
        <v>7</v>
      </c>
      <c r="L9" s="8">
        <v>7</v>
      </c>
    </row>
    <row r="10" spans="1:12">
      <c r="A10" s="39">
        <v>7</v>
      </c>
      <c r="B10" s="72" t="e">
        <f>+'[2]7-14'!#REF!</f>
        <v>#REF!</v>
      </c>
      <c r="C10" s="123">
        <f>+'[2]7-14'!D10</f>
        <v>1</v>
      </c>
      <c r="D10" s="123"/>
      <c r="E10" s="17">
        <v>6</v>
      </c>
      <c r="F10" s="8">
        <v>6</v>
      </c>
      <c r="G10" s="8">
        <v>7</v>
      </c>
      <c r="H10" s="8">
        <v>6</v>
      </c>
      <c r="I10" s="8">
        <v>6</v>
      </c>
      <c r="J10" s="8">
        <v>7</v>
      </c>
      <c r="K10" s="8">
        <v>7</v>
      </c>
      <c r="L10" s="8">
        <v>6</v>
      </c>
    </row>
    <row r="11" spans="1:12">
      <c r="A11" s="39">
        <v>8</v>
      </c>
      <c r="B11" s="72" t="e">
        <f>+'[2]7-14'!#REF!</f>
        <v>#REF!</v>
      </c>
      <c r="C11" s="123">
        <f>+'[2]7-14'!D11</f>
        <v>1</v>
      </c>
      <c r="D11" s="123"/>
      <c r="E11" s="17">
        <v>6</v>
      </c>
      <c r="F11" s="8">
        <v>6</v>
      </c>
      <c r="G11" s="8">
        <v>7</v>
      </c>
      <c r="H11" s="8">
        <v>6</v>
      </c>
      <c r="I11" s="8">
        <v>6</v>
      </c>
      <c r="J11" s="8">
        <v>7</v>
      </c>
      <c r="K11" s="8">
        <v>7</v>
      </c>
      <c r="L11" s="8">
        <v>6</v>
      </c>
    </row>
    <row r="12" spans="1:12">
      <c r="A12" s="39">
        <v>9</v>
      </c>
      <c r="B12" s="72" t="e">
        <f>+'[2]7-14'!#REF!</f>
        <v>#REF!</v>
      </c>
      <c r="C12" s="123">
        <f>+'[2]7-14'!D12</f>
        <v>1</v>
      </c>
      <c r="D12" s="123"/>
      <c r="E12" s="17">
        <v>7</v>
      </c>
      <c r="F12" s="8">
        <v>7</v>
      </c>
      <c r="G12" s="8">
        <v>7</v>
      </c>
      <c r="H12" s="8">
        <v>7</v>
      </c>
      <c r="I12" s="8">
        <v>7</v>
      </c>
      <c r="J12" s="8">
        <v>7</v>
      </c>
      <c r="K12" s="8">
        <v>7</v>
      </c>
      <c r="L12" s="8">
        <v>7</v>
      </c>
    </row>
    <row r="13" spans="1:12">
      <c r="A13" s="38">
        <v>10</v>
      </c>
      <c r="B13" s="72" t="e">
        <f>+'[2]7-14'!#REF!</f>
        <v>#REF!</v>
      </c>
      <c r="C13" s="123">
        <f>+'[2]7-14'!D13</f>
        <v>0</v>
      </c>
      <c r="D13" s="123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</row>
    <row r="14" spans="1:12">
      <c r="A14" s="38">
        <v>11</v>
      </c>
      <c r="B14" s="72" t="e">
        <f>+'[2]7-14'!#REF!</f>
        <v>#REF!</v>
      </c>
      <c r="C14" s="123">
        <f>+'[2]7-14'!D14</f>
        <v>1</v>
      </c>
      <c r="D14" s="123"/>
      <c r="E14" s="17">
        <v>7</v>
      </c>
      <c r="F14" s="8">
        <v>7</v>
      </c>
      <c r="G14" s="8">
        <v>7</v>
      </c>
      <c r="H14" s="8">
        <v>7</v>
      </c>
      <c r="I14" s="8">
        <v>7</v>
      </c>
      <c r="J14" s="8">
        <v>7</v>
      </c>
      <c r="K14" s="8">
        <v>7</v>
      </c>
      <c r="L14" s="8">
        <v>7</v>
      </c>
    </row>
    <row r="15" spans="1:12">
      <c r="A15" s="39">
        <v>12</v>
      </c>
      <c r="B15" s="72" t="e">
        <f>+'[2]7-14'!#REF!</f>
        <v>#REF!</v>
      </c>
      <c r="C15" s="123">
        <f>+'[2]7-14'!D15</f>
        <v>1</v>
      </c>
      <c r="D15" s="123"/>
      <c r="E15" s="17">
        <v>7</v>
      </c>
      <c r="F15" s="8">
        <v>7</v>
      </c>
      <c r="G15" s="8">
        <v>7</v>
      </c>
      <c r="H15" s="8">
        <v>6</v>
      </c>
      <c r="I15" s="8">
        <v>7</v>
      </c>
      <c r="J15" s="8">
        <v>7</v>
      </c>
      <c r="K15" s="8">
        <v>7</v>
      </c>
      <c r="L15" s="8">
        <v>7</v>
      </c>
    </row>
    <row r="16" spans="1:12">
      <c r="A16" s="38">
        <v>13</v>
      </c>
      <c r="B16" s="72" t="e">
        <f>+'[2]7-14'!#REF!</f>
        <v>#REF!</v>
      </c>
      <c r="C16" s="123">
        <f>+'[2]7-14'!D16</f>
        <v>1</v>
      </c>
      <c r="D16" s="123"/>
      <c r="E16" s="17">
        <v>7</v>
      </c>
      <c r="F16" s="8">
        <v>7</v>
      </c>
      <c r="G16" s="8">
        <v>7</v>
      </c>
      <c r="H16" s="8">
        <v>6</v>
      </c>
      <c r="I16" s="8">
        <v>7</v>
      </c>
      <c r="J16" s="8">
        <v>6</v>
      </c>
      <c r="K16" s="8">
        <v>6</v>
      </c>
      <c r="L16" s="8">
        <v>7</v>
      </c>
    </row>
    <row r="17" spans="1:12">
      <c r="A17" s="38">
        <v>14</v>
      </c>
      <c r="B17" s="72" t="e">
        <f>+'[2]7-14'!#REF!</f>
        <v>#REF!</v>
      </c>
      <c r="C17" s="123">
        <f>+'[2]7-14'!D17</f>
        <v>1</v>
      </c>
      <c r="D17" s="123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</row>
    <row r="18" spans="1:12">
      <c r="A18" s="39">
        <v>15</v>
      </c>
      <c r="B18" s="72" t="e">
        <f>+'[2]7-14'!#REF!</f>
        <v>#REF!</v>
      </c>
      <c r="C18" s="123">
        <f>+'[2]7-14'!D18</f>
        <v>1</v>
      </c>
      <c r="D18" s="123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</row>
    <row r="19" spans="1:12">
      <c r="A19" s="39">
        <v>16</v>
      </c>
      <c r="B19" s="72" t="e">
        <f>+'[2]7-14'!#REF!</f>
        <v>#REF!</v>
      </c>
      <c r="C19" s="123">
        <f>+'[2]7-14'!D19</f>
        <v>1</v>
      </c>
      <c r="D19" s="123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>
      <c r="A20" s="39">
        <v>17</v>
      </c>
      <c r="B20" s="72" t="e">
        <f>+'[2]7-14'!#REF!</f>
        <v>#REF!</v>
      </c>
      <c r="C20" s="123">
        <f>+'[2]7-14'!D20</f>
        <v>1</v>
      </c>
      <c r="D20" s="123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</row>
    <row r="21" spans="1:12">
      <c r="A21" s="76">
        <v>18</v>
      </c>
      <c r="B21" s="77" t="e">
        <f>+'[2]7-14'!#REF!</f>
        <v>#REF!</v>
      </c>
      <c r="C21" s="121"/>
      <c r="D21" s="121">
        <f>+'[2]7-14'!E21</f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</row>
    <row r="22" spans="1:12">
      <c r="A22" s="39">
        <v>19</v>
      </c>
      <c r="B22" s="72" t="e">
        <f>+'[2]7-14'!#REF!</f>
        <v>#REF!</v>
      </c>
      <c r="C22" s="123">
        <f>+'[2]7-14'!D22</f>
        <v>1</v>
      </c>
      <c r="D22" s="123"/>
      <c r="E22" s="17">
        <v>6</v>
      </c>
      <c r="F22" s="8">
        <v>7</v>
      </c>
      <c r="G22" s="8">
        <v>7</v>
      </c>
      <c r="H22" s="8">
        <v>6</v>
      </c>
      <c r="I22" s="8">
        <v>7</v>
      </c>
      <c r="J22" s="8">
        <v>7</v>
      </c>
      <c r="K22" s="8">
        <v>7</v>
      </c>
      <c r="L22" s="8">
        <v>7</v>
      </c>
    </row>
    <row r="23" spans="1:12">
      <c r="A23" s="39">
        <v>20</v>
      </c>
      <c r="B23" s="72" t="e">
        <f>+'[2]7-14'!#REF!</f>
        <v>#REF!</v>
      </c>
      <c r="C23" s="123">
        <f>+'[2]7-14'!D23</f>
        <v>1</v>
      </c>
      <c r="D23" s="123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</row>
    <row r="24" spans="1:12">
      <c r="A24" s="39">
        <v>21</v>
      </c>
      <c r="B24" s="72" t="e">
        <f>+'[2]7-14'!#REF!</f>
        <v>#REF!</v>
      </c>
      <c r="C24" s="123">
        <f>+'[2]7-14'!D24</f>
        <v>1</v>
      </c>
      <c r="D24" s="123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81">
        <v>22</v>
      </c>
      <c r="B25" s="77" t="e">
        <f>+'[2]7-14'!#REF!</f>
        <v>#REF!</v>
      </c>
      <c r="C25" s="121"/>
      <c r="D25" s="121">
        <f>+'[2]7-14'!E25</f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</row>
    <row r="26" spans="1:12">
      <c r="A26" s="76">
        <v>23</v>
      </c>
      <c r="B26" s="77" t="e">
        <f>+'[2]7-14'!#REF!</f>
        <v>#REF!</v>
      </c>
      <c r="C26" s="121"/>
      <c r="D26" s="121">
        <f>+'[2]7-14'!E26</f>
        <v>0</v>
      </c>
      <c r="E26" s="79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</row>
    <row r="27" spans="1:12">
      <c r="A27" s="39">
        <v>24</v>
      </c>
      <c r="B27" s="72" t="e">
        <f>+'[2]7-14'!#REF!</f>
        <v>#REF!</v>
      </c>
      <c r="C27" s="123">
        <f>+'[2]7-14'!D27</f>
        <v>1</v>
      </c>
      <c r="D27" s="123"/>
      <c r="E27" s="17">
        <v>7</v>
      </c>
      <c r="F27" s="8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</row>
    <row r="28" spans="1:12">
      <c r="A28" s="39">
        <v>25</v>
      </c>
      <c r="B28" s="72" t="e">
        <f>+'[2]7-14'!#REF!</f>
        <v>#REF!</v>
      </c>
      <c r="C28" s="123">
        <f>+'[2]7-14'!D28</f>
        <v>1</v>
      </c>
      <c r="D28" s="123"/>
      <c r="E28" s="17">
        <v>7</v>
      </c>
      <c r="F28" s="8">
        <v>7</v>
      </c>
      <c r="G28" s="8">
        <v>7</v>
      </c>
      <c r="H28" s="8">
        <v>6</v>
      </c>
      <c r="I28" s="8">
        <v>7</v>
      </c>
      <c r="J28" s="8">
        <v>7</v>
      </c>
      <c r="K28" s="8">
        <v>7</v>
      </c>
      <c r="L28" s="8">
        <v>7</v>
      </c>
    </row>
    <row r="29" spans="1:12">
      <c r="A29" s="39">
        <v>26</v>
      </c>
      <c r="B29" s="72" t="e">
        <f>+'[2]7-14'!#REF!</f>
        <v>#REF!</v>
      </c>
      <c r="C29" s="123">
        <f>+'[2]7-14'!D29</f>
        <v>0</v>
      </c>
      <c r="D29" s="123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12">
      <c r="A30" s="39">
        <v>27</v>
      </c>
      <c r="B30" s="72" t="e">
        <f>+'[2]7-14'!#REF!</f>
        <v>#REF!</v>
      </c>
      <c r="C30" s="123">
        <f>+'[2]7-14'!D30</f>
        <v>1</v>
      </c>
      <c r="D30" s="123"/>
      <c r="E30" s="17">
        <v>7</v>
      </c>
      <c r="F30" s="8">
        <v>7</v>
      </c>
      <c r="G30" s="8">
        <v>7</v>
      </c>
      <c r="H30" s="8">
        <v>6</v>
      </c>
      <c r="I30" s="8">
        <v>7</v>
      </c>
      <c r="J30" s="8">
        <v>7</v>
      </c>
      <c r="K30" s="8">
        <v>7</v>
      </c>
      <c r="L30" s="8">
        <v>7</v>
      </c>
    </row>
    <row r="31" spans="1:12">
      <c r="A31" s="39">
        <v>28</v>
      </c>
      <c r="B31" s="72" t="e">
        <f>+'[2]7-14'!#REF!</f>
        <v>#REF!</v>
      </c>
      <c r="C31" s="123">
        <f>+'[2]7-14'!D31</f>
        <v>0</v>
      </c>
      <c r="D31" s="123"/>
      <c r="E31" s="17">
        <v>7</v>
      </c>
      <c r="F31" s="8">
        <v>7</v>
      </c>
      <c r="G31" s="8">
        <v>7</v>
      </c>
      <c r="H31" s="8">
        <v>7</v>
      </c>
      <c r="I31" s="8">
        <v>7</v>
      </c>
      <c r="J31" s="8">
        <v>7</v>
      </c>
      <c r="K31" s="8">
        <v>7</v>
      </c>
      <c r="L31" s="8">
        <v>7</v>
      </c>
    </row>
    <row r="32" spans="1:12">
      <c r="A32" s="39">
        <v>29</v>
      </c>
      <c r="B32" s="72" t="e">
        <f>+'[2]7-14'!#REF!</f>
        <v>#REF!</v>
      </c>
      <c r="C32" s="123">
        <f>+'[2]7-14'!D32</f>
        <v>1</v>
      </c>
      <c r="D32" s="123"/>
      <c r="E32" s="17">
        <v>7</v>
      </c>
      <c r="F32" s="8">
        <v>7</v>
      </c>
      <c r="G32" s="8">
        <v>7</v>
      </c>
      <c r="H32" s="8">
        <v>7</v>
      </c>
      <c r="I32" s="8">
        <v>7</v>
      </c>
      <c r="J32" s="8">
        <v>7</v>
      </c>
      <c r="K32" s="8">
        <v>7</v>
      </c>
      <c r="L32" s="8">
        <v>7</v>
      </c>
    </row>
    <row r="33" spans="1:12">
      <c r="A33" s="39">
        <v>30</v>
      </c>
      <c r="B33" s="72" t="e">
        <f>+'[2]7-14'!#REF!</f>
        <v>#REF!</v>
      </c>
      <c r="C33" s="123">
        <f>+'[2]7-14'!D33</f>
        <v>1</v>
      </c>
      <c r="D33" s="123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</row>
    <row r="34" spans="1:12">
      <c r="A34" s="76">
        <v>31</v>
      </c>
      <c r="B34" s="77" t="e">
        <f>+'[2]7-14'!#REF!</f>
        <v>#REF!</v>
      </c>
      <c r="C34" s="121"/>
      <c r="D34" s="121">
        <f>+'[2]7-14'!E34</f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</row>
    <row r="35" spans="1:12">
      <c r="A35" s="38">
        <v>32</v>
      </c>
      <c r="B35" s="72" t="e">
        <f>+'[2]7-14'!#REF!</f>
        <v>#REF!</v>
      </c>
      <c r="C35" s="123">
        <f>+'[2]7-14'!D35</f>
        <v>1</v>
      </c>
      <c r="D35" s="123"/>
      <c r="E35" s="17">
        <v>7</v>
      </c>
      <c r="F35" s="8">
        <v>7</v>
      </c>
      <c r="G35" s="8">
        <v>7</v>
      </c>
      <c r="H35" s="8">
        <v>6</v>
      </c>
      <c r="I35" s="8">
        <v>6</v>
      </c>
      <c r="J35" s="8">
        <v>7</v>
      </c>
      <c r="K35" s="8">
        <v>7</v>
      </c>
      <c r="L35" s="8">
        <v>7</v>
      </c>
    </row>
    <row r="36" spans="1:12">
      <c r="A36" s="39">
        <v>33</v>
      </c>
      <c r="B36" s="72" t="e">
        <f>+'[2]7-14'!#REF!</f>
        <v>#REF!</v>
      </c>
      <c r="C36" s="123">
        <f>+'[2]7-14'!D36</f>
        <v>1</v>
      </c>
      <c r="D36" s="123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</row>
    <row r="37" spans="1:12">
      <c r="A37" s="76">
        <v>34</v>
      </c>
      <c r="B37" s="77" t="e">
        <f>+'[2]7-14'!#REF!</f>
        <v>#REF!</v>
      </c>
      <c r="C37" s="121"/>
      <c r="D37" s="121">
        <f>+'[2]7-14'!E37</f>
        <v>0</v>
      </c>
      <c r="E37" s="79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80">
        <v>0</v>
      </c>
    </row>
    <row r="38" spans="1:12">
      <c r="A38" s="39">
        <v>35</v>
      </c>
      <c r="B38" s="72" t="e">
        <f>+'[2]7-14'!#REF!</f>
        <v>#REF!</v>
      </c>
      <c r="C38" s="123">
        <f>+'[2]7-14'!D38</f>
        <v>1</v>
      </c>
      <c r="D38" s="123"/>
      <c r="E38" s="17">
        <v>7</v>
      </c>
      <c r="F38" s="17">
        <v>7</v>
      </c>
      <c r="G38" s="17">
        <v>7</v>
      </c>
      <c r="H38" s="17">
        <v>7</v>
      </c>
      <c r="I38" s="17">
        <v>7</v>
      </c>
      <c r="J38" s="8">
        <v>7</v>
      </c>
      <c r="K38" s="8">
        <v>7</v>
      </c>
      <c r="L38" s="8">
        <v>7</v>
      </c>
    </row>
    <row r="39" spans="1:12">
      <c r="A39" s="76">
        <v>36</v>
      </c>
      <c r="B39" s="77" t="e">
        <f>+'[2]7-14'!#REF!</f>
        <v>#REF!</v>
      </c>
      <c r="C39" s="121"/>
      <c r="D39" s="121">
        <f>+'[2]7-14'!E39</f>
        <v>0</v>
      </c>
      <c r="E39" s="79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0">
        <v>0</v>
      </c>
    </row>
    <row r="40" spans="1:12">
      <c r="A40" s="39">
        <v>37</v>
      </c>
      <c r="B40" s="72" t="e">
        <f>+'[2]7-14'!#REF!</f>
        <v>#REF!</v>
      </c>
      <c r="C40" s="123">
        <f>+'[2]7-14'!D40</f>
        <v>1</v>
      </c>
      <c r="D40" s="123"/>
      <c r="E40" s="17">
        <v>7</v>
      </c>
      <c r="F40" s="8">
        <v>6</v>
      </c>
      <c r="G40" s="8">
        <v>6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</row>
    <row r="41" spans="1:12">
      <c r="A41" s="76">
        <v>38</v>
      </c>
      <c r="B41" s="77" t="e">
        <f>+'[2]7-14'!#REF!</f>
        <v>#REF!</v>
      </c>
      <c r="C41" s="121"/>
      <c r="D41" s="121">
        <f>+'[2]7-14'!E41</f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</row>
    <row r="42" spans="1:12">
      <c r="A42" s="76">
        <v>39</v>
      </c>
      <c r="B42" s="77" t="e">
        <f>+'[2]7-14'!#REF!</f>
        <v>#REF!</v>
      </c>
      <c r="C42" s="121"/>
      <c r="D42" s="121">
        <f>+'[2]7-14'!E42</f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12">
      <c r="A43" s="76">
        <v>40</v>
      </c>
      <c r="B43" s="77" t="e">
        <f>+'[2]7-14'!#REF!</f>
        <v>#REF!</v>
      </c>
      <c r="C43" s="121"/>
      <c r="D43" s="121">
        <f>+'[2]7-14'!E43</f>
        <v>1</v>
      </c>
      <c r="E43" s="79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>
        <v>0</v>
      </c>
      <c r="L43" s="80">
        <v>0</v>
      </c>
    </row>
    <row r="44" spans="1:12">
      <c r="A44" s="39">
        <v>41</v>
      </c>
      <c r="B44" s="72" t="e">
        <f>+'[2]7-14'!#REF!</f>
        <v>#REF!</v>
      </c>
      <c r="C44" s="123">
        <f>+'[2]7-14'!D44</f>
        <v>1</v>
      </c>
      <c r="D44" s="123"/>
      <c r="E44" s="17">
        <v>7</v>
      </c>
      <c r="F44" s="8">
        <v>7</v>
      </c>
      <c r="G44" s="8">
        <v>7</v>
      </c>
      <c r="H44" s="8">
        <v>6</v>
      </c>
      <c r="I44" s="8">
        <v>7</v>
      </c>
      <c r="J44" s="8">
        <v>7</v>
      </c>
      <c r="K44" s="8">
        <v>7</v>
      </c>
      <c r="L44" s="8">
        <v>7</v>
      </c>
    </row>
    <row r="45" spans="1:12">
      <c r="A45" s="39">
        <v>42</v>
      </c>
      <c r="B45" s="72" t="e">
        <f>+'[2]7-14'!#REF!</f>
        <v>#REF!</v>
      </c>
      <c r="C45" s="123">
        <f>+'[2]7-14'!D45</f>
        <v>1</v>
      </c>
      <c r="D45" s="123"/>
      <c r="E45" s="17">
        <v>7</v>
      </c>
      <c r="F45" s="8">
        <v>7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7</v>
      </c>
    </row>
    <row r="46" spans="1:12">
      <c r="A46" s="76">
        <v>43</v>
      </c>
      <c r="B46" s="77" t="e">
        <f>+'[2]7-14'!#REF!</f>
        <v>#REF!</v>
      </c>
      <c r="C46" s="121"/>
      <c r="D46" s="121">
        <f>+'[2]7-14'!E46</f>
        <v>0</v>
      </c>
      <c r="E46" s="79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</row>
    <row r="47" spans="1:12">
      <c r="A47" s="76">
        <v>44</v>
      </c>
      <c r="B47" s="77" t="e">
        <f>+'[2]7-14'!#REF!</f>
        <v>#REF!</v>
      </c>
      <c r="C47" s="121"/>
      <c r="D47" s="121">
        <f>+'[2]7-14'!E47</f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12">
      <c r="A48" s="76">
        <v>45</v>
      </c>
      <c r="B48" s="77" t="e">
        <f>+'[2]7-14'!#REF!</f>
        <v>#REF!</v>
      </c>
      <c r="C48" s="121"/>
      <c r="D48" s="121">
        <f>+'[2]7-14'!E48</f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12">
      <c r="A49" s="39">
        <v>46</v>
      </c>
      <c r="B49" s="72" t="e">
        <f>+'[2]7-14'!#REF!</f>
        <v>#REF!</v>
      </c>
      <c r="C49" s="123">
        <f>+'[2]7-14'!D49</f>
        <v>1</v>
      </c>
      <c r="D49" s="123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38">
        <v>47</v>
      </c>
      <c r="B50" s="72" t="e">
        <f>+'[2]7-14'!#REF!</f>
        <v>#REF!</v>
      </c>
      <c r="C50" s="123">
        <f>+'[2]7-14'!D50</f>
        <v>1</v>
      </c>
      <c r="D50" s="123"/>
      <c r="E50" s="17">
        <v>6</v>
      </c>
      <c r="F50" s="8">
        <v>6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6</v>
      </c>
    </row>
    <row r="51" spans="1:12">
      <c r="A51" s="39">
        <v>48</v>
      </c>
      <c r="B51" s="72" t="e">
        <f>+'[2]7-14'!#REF!</f>
        <v>#REF!</v>
      </c>
      <c r="C51" s="123">
        <f>+'[2]7-14'!D51</f>
        <v>1</v>
      </c>
      <c r="D51" s="123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39">
        <v>49</v>
      </c>
      <c r="B52" s="72" t="e">
        <f>+'[2]7-14'!#REF!</f>
        <v>#REF!</v>
      </c>
      <c r="C52" s="123">
        <f>+'[2]7-14'!D52</f>
        <v>1</v>
      </c>
      <c r="D52" s="123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38">
        <v>50</v>
      </c>
      <c r="B53" s="72" t="e">
        <f>+'[2]7-14'!#REF!</f>
        <v>#REF!</v>
      </c>
      <c r="C53" s="123">
        <f>+'[2]7-14'!D53</f>
        <v>1</v>
      </c>
      <c r="D53" s="123"/>
      <c r="E53" s="17">
        <v>7</v>
      </c>
      <c r="F53" s="8">
        <v>7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7</v>
      </c>
    </row>
    <row r="54" spans="1:12">
      <c r="A54" s="29"/>
      <c r="B54" s="30"/>
      <c r="C54" s="4">
        <f>SUM(C4:C53)</f>
        <v>31</v>
      </c>
      <c r="D54" s="4">
        <f>SUM(D4:D53)</f>
        <v>10</v>
      </c>
    </row>
    <row r="55" spans="1:12">
      <c r="A55" s="29"/>
      <c r="B55" s="30"/>
      <c r="C55" s="45">
        <f>+C54/50</f>
        <v>0.62</v>
      </c>
      <c r="D55" s="45">
        <f>+D54/50</f>
        <v>0.2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24</v>
      </c>
      <c r="F58" s="64">
        <v>24</v>
      </c>
      <c r="G58" s="64">
        <v>35</v>
      </c>
      <c r="H58" s="64">
        <v>7</v>
      </c>
      <c r="I58" s="64">
        <v>17</v>
      </c>
      <c r="J58" s="64">
        <v>34</v>
      </c>
      <c r="K58" s="64">
        <v>34</v>
      </c>
      <c r="L58" s="65">
        <v>24</v>
      </c>
    </row>
    <row r="59" spans="1:12">
      <c r="A59" s="29"/>
      <c r="B59" s="30"/>
      <c r="C59" s="29"/>
      <c r="D59" s="69">
        <v>6</v>
      </c>
      <c r="E59" s="4">
        <v>12</v>
      </c>
      <c r="F59" s="4">
        <v>12</v>
      </c>
      <c r="G59" s="4">
        <v>1</v>
      </c>
      <c r="H59" s="4">
        <v>29</v>
      </c>
      <c r="I59" s="4">
        <v>19</v>
      </c>
      <c r="J59" s="4">
        <v>2</v>
      </c>
      <c r="K59" s="4">
        <v>2</v>
      </c>
      <c r="L59" s="66">
        <v>12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0">SUM(E58:E64)</f>
        <v>36</v>
      </c>
      <c r="F65" s="4">
        <f t="shared" si="0"/>
        <v>36</v>
      </c>
      <c r="G65" s="4">
        <f t="shared" si="0"/>
        <v>36</v>
      </c>
      <c r="H65" s="4">
        <f t="shared" si="0"/>
        <v>36</v>
      </c>
      <c r="I65" s="4">
        <f t="shared" si="0"/>
        <v>36</v>
      </c>
      <c r="J65" s="4">
        <f t="shared" si="0"/>
        <v>36</v>
      </c>
      <c r="K65" s="4">
        <f t="shared" si="0"/>
        <v>36</v>
      </c>
      <c r="L65" s="4">
        <f t="shared" si="0"/>
        <v>36</v>
      </c>
    </row>
    <row r="66" spans="2:13">
      <c r="C66" s="1"/>
      <c r="D66" s="1"/>
    </row>
    <row r="67" spans="2:13">
      <c r="D67" s="28" t="s">
        <v>59</v>
      </c>
      <c r="E67" s="4">
        <f>$C54*7</f>
        <v>217</v>
      </c>
      <c r="F67" s="4">
        <f t="shared" ref="F67:L67" si="1">$C54*7</f>
        <v>217</v>
      </c>
      <c r="G67" s="4">
        <f t="shared" si="1"/>
        <v>217</v>
      </c>
      <c r="H67" s="4">
        <f t="shared" si="1"/>
        <v>217</v>
      </c>
      <c r="I67" s="4">
        <f t="shared" si="1"/>
        <v>217</v>
      </c>
      <c r="J67" s="4">
        <f t="shared" si="1"/>
        <v>217</v>
      </c>
      <c r="K67" s="4">
        <f t="shared" si="1"/>
        <v>217</v>
      </c>
      <c r="L67" s="4">
        <f t="shared" si="1"/>
        <v>217</v>
      </c>
      <c r="M67" s="1">
        <f>SUM(E67:L67)</f>
        <v>1736</v>
      </c>
    </row>
    <row r="68" spans="2:13" ht="17" thickBot="1">
      <c r="D68" s="28" t="s">
        <v>60</v>
      </c>
      <c r="E68" s="4">
        <f t="shared" ref="E68:L68" si="2">SUM(E4:E53)</f>
        <v>240</v>
      </c>
      <c r="F68" s="4">
        <f t="shared" si="2"/>
        <v>240</v>
      </c>
      <c r="G68" s="4">
        <f t="shared" si="2"/>
        <v>251</v>
      </c>
      <c r="H68" s="4">
        <f>SUM(H4:H53)</f>
        <v>223</v>
      </c>
      <c r="I68" s="4">
        <f t="shared" si="2"/>
        <v>233</v>
      </c>
      <c r="J68" s="4">
        <f t="shared" si="2"/>
        <v>250</v>
      </c>
      <c r="K68" s="4">
        <f t="shared" si="2"/>
        <v>250</v>
      </c>
      <c r="L68" s="4">
        <f t="shared" si="2"/>
        <v>240</v>
      </c>
      <c r="M68" s="1">
        <f>SUM(E68:L68)</f>
        <v>1927</v>
      </c>
    </row>
    <row r="69" spans="2:13" ht="22.5" customHeight="1" thickBot="1">
      <c r="E69" s="45">
        <f t="shared" ref="E69:M69" si="3">+E68/E67</f>
        <v>1.1059907834101383</v>
      </c>
      <c r="F69" s="45">
        <f t="shared" si="3"/>
        <v>1.1059907834101383</v>
      </c>
      <c r="G69" s="45">
        <f t="shared" si="3"/>
        <v>1.1566820276497696</v>
      </c>
      <c r="H69" s="45">
        <f t="shared" si="3"/>
        <v>1.0276497695852536</v>
      </c>
      <c r="I69" s="45">
        <f t="shared" si="3"/>
        <v>1.0737327188940091</v>
      </c>
      <c r="J69" s="45">
        <f t="shared" si="3"/>
        <v>1.1520737327188939</v>
      </c>
      <c r="K69" s="45">
        <f t="shared" si="3"/>
        <v>1.1520737327188939</v>
      </c>
      <c r="L69" s="45">
        <f t="shared" si="3"/>
        <v>1.1059907834101383</v>
      </c>
      <c r="M69" s="46">
        <f t="shared" si="3"/>
        <v>1.1100230414746544</v>
      </c>
    </row>
    <row r="71" spans="2:13">
      <c r="B71" s="62" t="s">
        <v>63</v>
      </c>
    </row>
    <row r="72" spans="2:13">
      <c r="B72" s="62" t="s">
        <v>152</v>
      </c>
    </row>
    <row r="73" spans="2:13" ht="17" thickBot="1">
      <c r="B73" s="63" t="s">
        <v>153</v>
      </c>
    </row>
    <row r="74" spans="2:13" ht="17.25" customHeight="1" thickBot="1">
      <c r="B74" s="63" t="s">
        <v>154</v>
      </c>
      <c r="L74" s="208" t="s">
        <v>92</v>
      </c>
      <c r="M74" s="209"/>
    </row>
  </sheetData>
  <mergeCells count="2">
    <mergeCell ref="D57:L57"/>
    <mergeCell ref="L74:M74"/>
  </mergeCells>
  <phoneticPr fontId="2" type="noConversion"/>
  <pageMargins left="1.1499999999999999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4"/>
  <sheetViews>
    <sheetView topLeftCell="A16" zoomScaleNormal="100" workbookViewId="0">
      <selection activeCell="D71" sqref="D71"/>
    </sheetView>
  </sheetViews>
  <sheetFormatPr baseColWidth="10" defaultColWidth="9" defaultRowHeight="16"/>
  <cols>
    <col min="1" max="1" width="4.83203125" style="90" customWidth="1"/>
    <col min="2" max="2" width="28.5" style="89" customWidth="1"/>
    <col min="3" max="4" width="5.33203125" style="90" customWidth="1"/>
    <col min="5" max="12" width="5.83203125" style="90" customWidth="1"/>
    <col min="13" max="13" width="5.83203125" style="89" customWidth="1"/>
    <col min="14" max="16384" width="9" style="89"/>
  </cols>
  <sheetData>
    <row r="1" spans="1:12" ht="18">
      <c r="A1" s="88" t="s">
        <v>141</v>
      </c>
    </row>
    <row r="2" spans="1:12">
      <c r="A2" s="91"/>
    </row>
    <row r="3" spans="1:12" ht="107.25" customHeight="1">
      <c r="A3" s="92"/>
      <c r="B3" s="93"/>
      <c r="C3" s="94" t="s">
        <v>89</v>
      </c>
      <c r="D3" s="95" t="s">
        <v>90</v>
      </c>
      <c r="E3" s="96" t="s">
        <v>54</v>
      </c>
      <c r="F3" s="97" t="s">
        <v>50</v>
      </c>
      <c r="G3" s="97" t="s">
        <v>51</v>
      </c>
      <c r="H3" s="97" t="s">
        <v>52</v>
      </c>
      <c r="I3" s="97" t="s">
        <v>53</v>
      </c>
      <c r="J3" s="97" t="s">
        <v>56</v>
      </c>
      <c r="K3" s="97" t="s">
        <v>57</v>
      </c>
      <c r="L3" s="97" t="s">
        <v>55</v>
      </c>
    </row>
    <row r="4" spans="1:12">
      <c r="A4" s="98">
        <v>1</v>
      </c>
      <c r="B4" s="99" t="s">
        <v>1</v>
      </c>
      <c r="C4" s="118">
        <v>1</v>
      </c>
      <c r="D4" s="118"/>
      <c r="E4" s="100">
        <v>7</v>
      </c>
      <c r="F4" s="92">
        <v>7</v>
      </c>
      <c r="G4" s="92">
        <v>7</v>
      </c>
      <c r="H4" s="92">
        <v>6</v>
      </c>
      <c r="I4" s="92">
        <v>7</v>
      </c>
      <c r="J4" s="92">
        <v>7</v>
      </c>
      <c r="K4" s="92">
        <v>7</v>
      </c>
      <c r="L4" s="92">
        <v>7</v>
      </c>
    </row>
    <row r="5" spans="1:12">
      <c r="A5" s="101">
        <v>2</v>
      </c>
      <c r="B5" s="99" t="s">
        <v>124</v>
      </c>
      <c r="C5" s="119">
        <v>1</v>
      </c>
      <c r="D5" s="118"/>
      <c r="E5" s="100">
        <v>6</v>
      </c>
      <c r="F5" s="92">
        <v>6</v>
      </c>
      <c r="G5" s="92">
        <v>7</v>
      </c>
      <c r="H5" s="92">
        <v>6</v>
      </c>
      <c r="I5" s="92">
        <v>6</v>
      </c>
      <c r="J5" s="92">
        <v>7</v>
      </c>
      <c r="K5" s="92">
        <v>7</v>
      </c>
      <c r="L5" s="92">
        <v>6</v>
      </c>
    </row>
    <row r="6" spans="1:12">
      <c r="A6" s="101">
        <v>3</v>
      </c>
      <c r="B6" s="99" t="s">
        <v>2</v>
      </c>
      <c r="C6" s="118">
        <v>1</v>
      </c>
      <c r="D6" s="118"/>
      <c r="E6" s="100">
        <v>7</v>
      </c>
      <c r="F6" s="92">
        <v>7</v>
      </c>
      <c r="G6" s="92">
        <v>7</v>
      </c>
      <c r="H6" s="92">
        <v>6</v>
      </c>
      <c r="I6" s="92">
        <v>7</v>
      </c>
      <c r="J6" s="92">
        <v>7</v>
      </c>
      <c r="K6" s="92">
        <v>7</v>
      </c>
      <c r="L6" s="92">
        <v>7</v>
      </c>
    </row>
    <row r="7" spans="1:12">
      <c r="A7" s="98">
        <v>4</v>
      </c>
      <c r="B7" s="102" t="s">
        <v>142</v>
      </c>
      <c r="C7" s="119">
        <v>1</v>
      </c>
      <c r="D7" s="118"/>
      <c r="E7" s="100">
        <v>6</v>
      </c>
      <c r="F7" s="92">
        <v>6</v>
      </c>
      <c r="G7" s="92">
        <v>7</v>
      </c>
      <c r="H7" s="92">
        <v>6</v>
      </c>
      <c r="I7" s="92">
        <v>6</v>
      </c>
      <c r="J7" s="92">
        <v>7</v>
      </c>
      <c r="K7" s="92">
        <v>7</v>
      </c>
      <c r="L7" s="92">
        <v>6</v>
      </c>
    </row>
    <row r="8" spans="1:12">
      <c r="A8" s="101">
        <v>5</v>
      </c>
      <c r="B8" s="99" t="s">
        <v>143</v>
      </c>
      <c r="C8" s="118">
        <v>1</v>
      </c>
      <c r="D8" s="118"/>
      <c r="E8" s="100">
        <v>6</v>
      </c>
      <c r="F8" s="92">
        <v>6</v>
      </c>
      <c r="G8" s="92">
        <v>7</v>
      </c>
      <c r="H8" s="92">
        <v>6</v>
      </c>
      <c r="I8" s="92">
        <v>6</v>
      </c>
      <c r="J8" s="92">
        <v>7</v>
      </c>
      <c r="K8" s="92">
        <v>7</v>
      </c>
      <c r="L8" s="92">
        <v>6</v>
      </c>
    </row>
    <row r="9" spans="1:12">
      <c r="A9" s="81">
        <v>6</v>
      </c>
      <c r="B9" s="77" t="s">
        <v>144</v>
      </c>
      <c r="C9" s="121"/>
      <c r="D9" s="121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</row>
    <row r="10" spans="1:12">
      <c r="A10" s="101">
        <v>7</v>
      </c>
      <c r="B10" s="102" t="s">
        <v>126</v>
      </c>
      <c r="C10" s="119">
        <v>1</v>
      </c>
      <c r="D10" s="118"/>
      <c r="E10" s="100">
        <v>6</v>
      </c>
      <c r="F10" s="92">
        <v>6</v>
      </c>
      <c r="G10" s="92">
        <v>7</v>
      </c>
      <c r="H10" s="92">
        <v>6</v>
      </c>
      <c r="I10" s="92">
        <v>6</v>
      </c>
      <c r="J10" s="92">
        <v>7</v>
      </c>
      <c r="K10" s="92">
        <v>7</v>
      </c>
      <c r="L10" s="92">
        <v>6</v>
      </c>
    </row>
    <row r="11" spans="1:12">
      <c r="A11" s="101">
        <v>8</v>
      </c>
      <c r="B11" s="99" t="s">
        <v>14</v>
      </c>
      <c r="C11" s="118">
        <v>1</v>
      </c>
      <c r="D11" s="118"/>
      <c r="E11" s="100">
        <v>6</v>
      </c>
      <c r="F11" s="92">
        <v>6</v>
      </c>
      <c r="G11" s="92">
        <v>7</v>
      </c>
      <c r="H11" s="92">
        <v>6</v>
      </c>
      <c r="I11" s="92">
        <v>6</v>
      </c>
      <c r="J11" s="92">
        <v>7</v>
      </c>
      <c r="K11" s="92">
        <v>7</v>
      </c>
      <c r="L11" s="92">
        <v>6</v>
      </c>
    </row>
    <row r="12" spans="1:12">
      <c r="A12" s="101">
        <v>9</v>
      </c>
      <c r="B12" s="99" t="s">
        <v>111</v>
      </c>
      <c r="C12" s="118">
        <v>1</v>
      </c>
      <c r="D12" s="118"/>
      <c r="E12" s="100">
        <v>7</v>
      </c>
      <c r="F12" s="92">
        <v>7</v>
      </c>
      <c r="G12" s="92">
        <v>7</v>
      </c>
      <c r="H12" s="92">
        <v>7</v>
      </c>
      <c r="I12" s="92">
        <v>7</v>
      </c>
      <c r="J12" s="92">
        <v>7</v>
      </c>
      <c r="K12" s="92">
        <v>7</v>
      </c>
      <c r="L12" s="92">
        <v>7</v>
      </c>
    </row>
    <row r="13" spans="1:12">
      <c r="A13" s="38">
        <v>10</v>
      </c>
      <c r="B13" s="72" t="s">
        <v>96</v>
      </c>
      <c r="C13" s="119">
        <v>1</v>
      </c>
      <c r="D13" s="123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</row>
    <row r="14" spans="1:12">
      <c r="A14" s="98">
        <v>11</v>
      </c>
      <c r="B14" s="99" t="s">
        <v>129</v>
      </c>
      <c r="C14" s="118">
        <v>1</v>
      </c>
      <c r="D14" s="118"/>
      <c r="E14" s="100">
        <v>7</v>
      </c>
      <c r="F14" s="92">
        <v>7</v>
      </c>
      <c r="G14" s="92">
        <v>7</v>
      </c>
      <c r="H14" s="92">
        <v>7</v>
      </c>
      <c r="I14" s="92">
        <v>7</v>
      </c>
      <c r="J14" s="92">
        <v>7</v>
      </c>
      <c r="K14" s="92">
        <v>7</v>
      </c>
      <c r="L14" s="92">
        <v>7</v>
      </c>
    </row>
    <row r="15" spans="1:12">
      <c r="A15" s="76">
        <v>12</v>
      </c>
      <c r="B15" s="83" t="s">
        <v>99</v>
      </c>
      <c r="C15" s="122"/>
      <c r="D15" s="121">
        <v>1</v>
      </c>
      <c r="E15" s="79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</row>
    <row r="16" spans="1:12">
      <c r="A16" s="38">
        <v>13</v>
      </c>
      <c r="B16" s="72" t="s">
        <v>100</v>
      </c>
      <c r="C16" s="119">
        <v>1</v>
      </c>
      <c r="D16" s="123"/>
      <c r="E16" s="17">
        <v>7</v>
      </c>
      <c r="F16" s="8">
        <v>7</v>
      </c>
      <c r="G16" s="8">
        <v>7</v>
      </c>
      <c r="H16" s="8">
        <v>6</v>
      </c>
      <c r="I16" s="8">
        <v>7</v>
      </c>
      <c r="J16" s="8">
        <v>6</v>
      </c>
      <c r="K16" s="8">
        <v>6</v>
      </c>
      <c r="L16" s="8">
        <v>7</v>
      </c>
    </row>
    <row r="17" spans="1:12">
      <c r="A17" s="38">
        <v>14</v>
      </c>
      <c r="B17" s="72" t="s">
        <v>131</v>
      </c>
      <c r="C17" s="119">
        <v>1</v>
      </c>
      <c r="D17" s="123"/>
      <c r="E17" s="17">
        <v>7</v>
      </c>
      <c r="F17" s="8">
        <v>7</v>
      </c>
      <c r="G17" s="8">
        <v>7</v>
      </c>
      <c r="H17" s="8">
        <v>6</v>
      </c>
      <c r="I17" s="8">
        <v>6</v>
      </c>
      <c r="J17" s="8">
        <v>7</v>
      </c>
      <c r="K17" s="8">
        <v>7</v>
      </c>
      <c r="L17" s="8">
        <v>7</v>
      </c>
    </row>
    <row r="18" spans="1:12">
      <c r="A18" s="101">
        <v>15</v>
      </c>
      <c r="B18" s="99" t="s">
        <v>101</v>
      </c>
      <c r="C18" s="118">
        <v>1</v>
      </c>
      <c r="D18" s="118"/>
      <c r="E18" s="100">
        <v>7</v>
      </c>
      <c r="F18" s="92">
        <v>7</v>
      </c>
      <c r="G18" s="92">
        <v>7</v>
      </c>
      <c r="H18" s="92">
        <v>6</v>
      </c>
      <c r="I18" s="92">
        <v>6</v>
      </c>
      <c r="J18" s="92">
        <v>7</v>
      </c>
      <c r="K18" s="92">
        <v>7</v>
      </c>
      <c r="L18" s="92">
        <v>7</v>
      </c>
    </row>
    <row r="19" spans="1:12">
      <c r="A19" s="101">
        <v>16</v>
      </c>
      <c r="B19" s="99" t="s">
        <v>69</v>
      </c>
      <c r="C19" s="118">
        <v>1</v>
      </c>
      <c r="D19" s="118"/>
      <c r="E19" s="100">
        <v>7</v>
      </c>
      <c r="F19" s="92">
        <v>7</v>
      </c>
      <c r="G19" s="92">
        <v>7</v>
      </c>
      <c r="H19" s="92">
        <v>7</v>
      </c>
      <c r="I19" s="92">
        <v>7</v>
      </c>
      <c r="J19" s="92">
        <v>7</v>
      </c>
      <c r="K19" s="92">
        <v>7</v>
      </c>
      <c r="L19" s="92">
        <v>7</v>
      </c>
    </row>
    <row r="20" spans="1:12" s="1" customFormat="1">
      <c r="A20" s="39">
        <v>17</v>
      </c>
      <c r="B20" s="72" t="s">
        <v>22</v>
      </c>
      <c r="C20" s="119">
        <v>1</v>
      </c>
      <c r="D20" s="123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6</v>
      </c>
    </row>
    <row r="21" spans="1:12">
      <c r="A21" s="76">
        <v>18</v>
      </c>
      <c r="B21" s="77" t="s">
        <v>145</v>
      </c>
      <c r="C21" s="121"/>
      <c r="D21" s="121">
        <v>1</v>
      </c>
      <c r="E21" s="79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</row>
    <row r="22" spans="1:12">
      <c r="A22" s="101">
        <v>19</v>
      </c>
      <c r="B22" s="99" t="s">
        <v>102</v>
      </c>
      <c r="C22" s="118">
        <v>1</v>
      </c>
      <c r="D22" s="118"/>
      <c r="E22" s="100">
        <v>6</v>
      </c>
      <c r="F22" s="92">
        <v>7</v>
      </c>
      <c r="G22" s="92">
        <v>7</v>
      </c>
      <c r="H22" s="92">
        <v>6</v>
      </c>
      <c r="I22" s="92">
        <v>7</v>
      </c>
      <c r="J22" s="92">
        <v>7</v>
      </c>
      <c r="K22" s="92">
        <v>7</v>
      </c>
      <c r="L22" s="92">
        <v>7</v>
      </c>
    </row>
    <row r="23" spans="1:12">
      <c r="A23" s="101">
        <v>20</v>
      </c>
      <c r="B23" s="99" t="s">
        <v>25</v>
      </c>
      <c r="C23" s="118">
        <v>1</v>
      </c>
      <c r="D23" s="118"/>
      <c r="E23" s="100">
        <v>6</v>
      </c>
      <c r="F23" s="92">
        <v>6</v>
      </c>
      <c r="G23" s="92">
        <v>7</v>
      </c>
      <c r="H23" s="92">
        <v>6</v>
      </c>
      <c r="I23" s="92">
        <v>6</v>
      </c>
      <c r="J23" s="92">
        <v>7</v>
      </c>
      <c r="K23" s="92">
        <v>7</v>
      </c>
      <c r="L23" s="92">
        <v>6</v>
      </c>
    </row>
    <row r="24" spans="1:12">
      <c r="A24" s="101">
        <v>21</v>
      </c>
      <c r="B24" s="99" t="s">
        <v>70</v>
      </c>
      <c r="C24" s="118">
        <v>1</v>
      </c>
      <c r="D24" s="118"/>
      <c r="E24" s="100">
        <v>7</v>
      </c>
      <c r="F24" s="92">
        <v>7</v>
      </c>
      <c r="G24" s="92">
        <v>7</v>
      </c>
      <c r="H24" s="92">
        <v>6</v>
      </c>
      <c r="I24" s="92">
        <v>6</v>
      </c>
      <c r="J24" s="92">
        <v>7</v>
      </c>
      <c r="K24" s="92">
        <v>7</v>
      </c>
      <c r="L24" s="92">
        <v>6</v>
      </c>
    </row>
    <row r="25" spans="1:12">
      <c r="A25" s="81">
        <v>22</v>
      </c>
      <c r="B25" s="83" t="s">
        <v>71</v>
      </c>
      <c r="C25" s="121"/>
      <c r="D25" s="121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</row>
    <row r="26" spans="1:12">
      <c r="A26" s="76">
        <v>23</v>
      </c>
      <c r="B26" s="77" t="s">
        <v>146</v>
      </c>
      <c r="C26" s="121"/>
      <c r="D26" s="121">
        <v>1</v>
      </c>
      <c r="E26" s="79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</row>
    <row r="27" spans="1:12">
      <c r="A27" s="101">
        <v>24</v>
      </c>
      <c r="B27" s="99" t="s">
        <v>72</v>
      </c>
      <c r="C27" s="118">
        <v>1</v>
      </c>
      <c r="D27" s="118"/>
      <c r="E27" s="100">
        <v>7</v>
      </c>
      <c r="F27" s="92">
        <v>7</v>
      </c>
      <c r="G27" s="92">
        <v>7</v>
      </c>
      <c r="H27" s="92">
        <v>7</v>
      </c>
      <c r="I27" s="92">
        <v>7</v>
      </c>
      <c r="J27" s="92">
        <v>7</v>
      </c>
      <c r="K27" s="92">
        <v>7</v>
      </c>
      <c r="L27" s="92">
        <v>7</v>
      </c>
    </row>
    <row r="28" spans="1:12">
      <c r="A28" s="76">
        <v>25</v>
      </c>
      <c r="B28" s="77" t="s">
        <v>103</v>
      </c>
      <c r="C28" s="121"/>
      <c r="D28" s="121">
        <v>1</v>
      </c>
      <c r="E28" s="79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>
        <v>0</v>
      </c>
      <c r="L28" s="80">
        <v>0</v>
      </c>
    </row>
    <row r="29" spans="1:12">
      <c r="A29" s="39">
        <v>26</v>
      </c>
      <c r="B29" s="72" t="s">
        <v>104</v>
      </c>
      <c r="C29" s="123">
        <v>1</v>
      </c>
      <c r="D29" s="123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12">
      <c r="A30" s="76">
        <v>27</v>
      </c>
      <c r="B30" s="77" t="s">
        <v>33</v>
      </c>
      <c r="C30" s="121"/>
      <c r="D30" s="121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</row>
    <row r="31" spans="1:12">
      <c r="A31" s="101">
        <v>28</v>
      </c>
      <c r="B31" s="99" t="s">
        <v>147</v>
      </c>
      <c r="C31" s="118">
        <v>1</v>
      </c>
      <c r="D31" s="118"/>
      <c r="E31" s="100">
        <v>7</v>
      </c>
      <c r="F31" s="92">
        <v>7</v>
      </c>
      <c r="G31" s="92">
        <v>7</v>
      </c>
      <c r="H31" s="92">
        <v>7</v>
      </c>
      <c r="I31" s="92">
        <v>7</v>
      </c>
      <c r="J31" s="92">
        <v>7</v>
      </c>
      <c r="K31" s="92">
        <v>7</v>
      </c>
      <c r="L31" s="92">
        <v>7</v>
      </c>
    </row>
    <row r="32" spans="1:12">
      <c r="A32" s="76">
        <v>29</v>
      </c>
      <c r="B32" s="77" t="s">
        <v>116</v>
      </c>
      <c r="C32" s="122"/>
      <c r="D32" s="121">
        <v>1</v>
      </c>
      <c r="E32" s="79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</row>
    <row r="33" spans="1:12">
      <c r="A33" s="101">
        <v>30</v>
      </c>
      <c r="B33" s="99" t="s">
        <v>34</v>
      </c>
      <c r="C33" s="119">
        <v>1</v>
      </c>
      <c r="D33" s="118"/>
      <c r="E33" s="100">
        <v>6</v>
      </c>
      <c r="F33" s="92">
        <v>6</v>
      </c>
      <c r="G33" s="92">
        <v>7</v>
      </c>
      <c r="H33" s="92">
        <v>6</v>
      </c>
      <c r="I33" s="92">
        <v>6</v>
      </c>
      <c r="J33" s="92">
        <v>7</v>
      </c>
      <c r="K33" s="92">
        <v>7</v>
      </c>
      <c r="L33" s="92">
        <v>6</v>
      </c>
    </row>
    <row r="34" spans="1:12">
      <c r="A34" s="76">
        <v>31</v>
      </c>
      <c r="B34" s="83" t="s">
        <v>117</v>
      </c>
      <c r="C34" s="122"/>
      <c r="D34" s="121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</row>
    <row r="35" spans="1:12">
      <c r="A35" s="81">
        <v>32</v>
      </c>
      <c r="B35" s="77" t="s">
        <v>37</v>
      </c>
      <c r="C35" s="121"/>
      <c r="D35" s="121">
        <v>1</v>
      </c>
      <c r="E35" s="79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>
        <v>0</v>
      </c>
      <c r="L35" s="80">
        <v>0</v>
      </c>
    </row>
    <row r="36" spans="1:12">
      <c r="A36" s="101">
        <v>33</v>
      </c>
      <c r="B36" s="99" t="s">
        <v>134</v>
      </c>
      <c r="C36" s="119">
        <v>1</v>
      </c>
      <c r="D36" s="118"/>
      <c r="E36" s="100">
        <v>7</v>
      </c>
      <c r="F36" s="92">
        <v>7</v>
      </c>
      <c r="G36" s="92">
        <v>7</v>
      </c>
      <c r="H36" s="92">
        <v>6</v>
      </c>
      <c r="I36" s="92">
        <v>6</v>
      </c>
      <c r="J36" s="92">
        <v>7</v>
      </c>
      <c r="K36" s="92">
        <v>7</v>
      </c>
      <c r="L36" s="92">
        <v>7</v>
      </c>
    </row>
    <row r="37" spans="1:12">
      <c r="A37" s="76">
        <v>34</v>
      </c>
      <c r="B37" s="77" t="s">
        <v>148</v>
      </c>
      <c r="C37" s="121"/>
      <c r="D37" s="121">
        <v>1</v>
      </c>
      <c r="E37" s="79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80">
        <v>0</v>
      </c>
    </row>
    <row r="38" spans="1:12">
      <c r="A38" s="101">
        <v>35</v>
      </c>
      <c r="B38" s="99" t="s">
        <v>76</v>
      </c>
      <c r="C38" s="118">
        <v>1</v>
      </c>
      <c r="D38" s="118"/>
      <c r="E38" s="100">
        <v>7</v>
      </c>
      <c r="F38" s="100">
        <v>7</v>
      </c>
      <c r="G38" s="100">
        <v>7</v>
      </c>
      <c r="H38" s="100">
        <v>7</v>
      </c>
      <c r="I38" s="100">
        <v>7</v>
      </c>
      <c r="J38" s="92">
        <v>7</v>
      </c>
      <c r="K38" s="92">
        <v>7</v>
      </c>
      <c r="L38" s="92">
        <v>7</v>
      </c>
    </row>
    <row r="39" spans="1:12">
      <c r="A39" s="76">
        <v>36</v>
      </c>
      <c r="B39" s="77" t="s">
        <v>38</v>
      </c>
      <c r="C39" s="121"/>
      <c r="D39" s="121">
        <v>1</v>
      </c>
      <c r="E39" s="79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0">
        <v>0</v>
      </c>
    </row>
    <row r="40" spans="1:12">
      <c r="A40" s="101">
        <v>37</v>
      </c>
      <c r="B40" s="99" t="s">
        <v>77</v>
      </c>
      <c r="C40" s="119">
        <v>1</v>
      </c>
      <c r="D40" s="118"/>
      <c r="E40" s="100">
        <v>7</v>
      </c>
      <c r="F40" s="92">
        <v>6</v>
      </c>
      <c r="G40" s="92">
        <v>6</v>
      </c>
      <c r="H40" s="92">
        <v>6</v>
      </c>
      <c r="I40" s="92">
        <v>6</v>
      </c>
      <c r="J40" s="92">
        <v>7</v>
      </c>
      <c r="K40" s="92">
        <v>7</v>
      </c>
      <c r="L40" s="92">
        <v>7</v>
      </c>
    </row>
    <row r="41" spans="1:12">
      <c r="A41" s="76">
        <v>38</v>
      </c>
      <c r="B41" s="77" t="s">
        <v>135</v>
      </c>
      <c r="C41" s="122"/>
      <c r="D41" s="121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</row>
    <row r="42" spans="1:12">
      <c r="A42" s="76">
        <v>39</v>
      </c>
      <c r="B42" s="77" t="s">
        <v>39</v>
      </c>
      <c r="C42" s="122"/>
      <c r="D42" s="121"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12">
      <c r="A43" s="101">
        <v>40</v>
      </c>
      <c r="B43" s="99" t="s">
        <v>40</v>
      </c>
      <c r="C43" s="119">
        <v>1</v>
      </c>
      <c r="D43" s="118"/>
      <c r="E43" s="100">
        <v>7</v>
      </c>
      <c r="F43" s="100">
        <v>7</v>
      </c>
      <c r="G43" s="100">
        <v>7</v>
      </c>
      <c r="H43" s="100">
        <v>7</v>
      </c>
      <c r="I43" s="100">
        <v>7</v>
      </c>
      <c r="J43" s="92">
        <v>7</v>
      </c>
      <c r="K43" s="92">
        <v>7</v>
      </c>
      <c r="L43" s="92">
        <v>7</v>
      </c>
    </row>
    <row r="44" spans="1:12">
      <c r="A44" s="76">
        <v>41</v>
      </c>
      <c r="B44" s="77" t="s">
        <v>119</v>
      </c>
      <c r="C44" s="121"/>
      <c r="D44" s="121">
        <v>1</v>
      </c>
      <c r="E44" s="79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</row>
    <row r="45" spans="1:12">
      <c r="A45" s="101">
        <v>42</v>
      </c>
      <c r="B45" s="99" t="s">
        <v>42</v>
      </c>
      <c r="C45" s="118">
        <v>1</v>
      </c>
      <c r="D45" s="118"/>
      <c r="E45" s="100">
        <v>7</v>
      </c>
      <c r="F45" s="92">
        <v>7</v>
      </c>
      <c r="G45" s="92">
        <v>7</v>
      </c>
      <c r="H45" s="92">
        <v>6</v>
      </c>
      <c r="I45" s="92">
        <v>6</v>
      </c>
      <c r="J45" s="92">
        <v>7</v>
      </c>
      <c r="K45" s="92">
        <v>7</v>
      </c>
      <c r="L45" s="92">
        <v>7</v>
      </c>
    </row>
    <row r="46" spans="1:12">
      <c r="A46" s="101">
        <v>43</v>
      </c>
      <c r="B46" s="99" t="s">
        <v>43</v>
      </c>
      <c r="C46" s="118">
        <v>1</v>
      </c>
      <c r="D46" s="118"/>
      <c r="E46" s="100">
        <v>6</v>
      </c>
      <c r="F46" s="92">
        <v>6</v>
      </c>
      <c r="G46" s="92">
        <v>7</v>
      </c>
      <c r="H46" s="92">
        <v>6</v>
      </c>
      <c r="I46" s="92">
        <v>6</v>
      </c>
      <c r="J46" s="92">
        <v>7</v>
      </c>
      <c r="K46" s="92">
        <v>7</v>
      </c>
      <c r="L46" s="92">
        <v>6</v>
      </c>
    </row>
    <row r="47" spans="1:12">
      <c r="A47" s="76">
        <v>44</v>
      </c>
      <c r="B47" s="77" t="s">
        <v>120</v>
      </c>
      <c r="C47" s="121"/>
      <c r="D47" s="121">
        <v>1</v>
      </c>
      <c r="E47" s="79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</row>
    <row r="48" spans="1:12">
      <c r="A48" s="76">
        <v>45</v>
      </c>
      <c r="B48" s="83" t="s">
        <v>149</v>
      </c>
      <c r="C48" s="121"/>
      <c r="D48" s="121">
        <v>1</v>
      </c>
      <c r="E48" s="79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</row>
    <row r="49" spans="1:12">
      <c r="A49" s="101">
        <v>46</v>
      </c>
      <c r="B49" s="99" t="s">
        <v>137</v>
      </c>
      <c r="C49" s="118">
        <v>1</v>
      </c>
      <c r="D49" s="118"/>
      <c r="E49" s="100">
        <v>6</v>
      </c>
      <c r="F49" s="92">
        <v>6</v>
      </c>
      <c r="G49" s="92">
        <v>7</v>
      </c>
      <c r="H49" s="92">
        <v>6</v>
      </c>
      <c r="I49" s="92">
        <v>6</v>
      </c>
      <c r="J49" s="92">
        <v>7</v>
      </c>
      <c r="K49" s="92">
        <v>7</v>
      </c>
      <c r="L49" s="92">
        <v>6</v>
      </c>
    </row>
    <row r="50" spans="1:12">
      <c r="A50" s="98">
        <v>47</v>
      </c>
      <c r="B50" s="99" t="s">
        <v>44</v>
      </c>
      <c r="C50" s="118">
        <v>1</v>
      </c>
      <c r="D50" s="118"/>
      <c r="E50" s="100">
        <v>6</v>
      </c>
      <c r="F50" s="92">
        <v>6</v>
      </c>
      <c r="G50" s="92">
        <v>7</v>
      </c>
      <c r="H50" s="92">
        <v>6</v>
      </c>
      <c r="I50" s="92">
        <v>6</v>
      </c>
      <c r="J50" s="92">
        <v>7</v>
      </c>
      <c r="K50" s="92">
        <v>7</v>
      </c>
      <c r="L50" s="92">
        <v>6</v>
      </c>
    </row>
    <row r="51" spans="1:12">
      <c r="A51" s="101">
        <v>48</v>
      </c>
      <c r="B51" s="99" t="s">
        <v>106</v>
      </c>
      <c r="C51" s="119">
        <v>1</v>
      </c>
      <c r="D51" s="118"/>
      <c r="E51" s="100">
        <v>7</v>
      </c>
      <c r="F51" s="92">
        <v>7</v>
      </c>
      <c r="G51" s="92">
        <v>7</v>
      </c>
      <c r="H51" s="92">
        <v>6</v>
      </c>
      <c r="I51" s="92">
        <v>7</v>
      </c>
      <c r="J51" s="92">
        <v>6</v>
      </c>
      <c r="K51" s="92">
        <v>6</v>
      </c>
      <c r="L51" s="92">
        <v>7</v>
      </c>
    </row>
    <row r="52" spans="1:12">
      <c r="A52" s="101">
        <v>49</v>
      </c>
      <c r="B52" s="99" t="s">
        <v>107</v>
      </c>
      <c r="C52" s="118">
        <v>1</v>
      </c>
      <c r="D52" s="118"/>
      <c r="E52" s="100">
        <v>6</v>
      </c>
      <c r="F52" s="92">
        <v>6</v>
      </c>
      <c r="G52" s="92">
        <v>7</v>
      </c>
      <c r="H52" s="92">
        <v>6</v>
      </c>
      <c r="I52" s="92">
        <v>6</v>
      </c>
      <c r="J52" s="92">
        <v>7</v>
      </c>
      <c r="K52" s="92">
        <v>7</v>
      </c>
      <c r="L52" s="92">
        <v>6</v>
      </c>
    </row>
    <row r="53" spans="1:12">
      <c r="A53" s="98">
        <v>50</v>
      </c>
      <c r="B53" s="99" t="s">
        <v>108</v>
      </c>
      <c r="C53" s="118">
        <v>1</v>
      </c>
      <c r="D53" s="120"/>
      <c r="E53" s="100">
        <v>7</v>
      </c>
      <c r="F53" s="92">
        <v>7</v>
      </c>
      <c r="G53" s="92">
        <v>7</v>
      </c>
      <c r="H53" s="92">
        <v>6</v>
      </c>
      <c r="I53" s="92">
        <v>6</v>
      </c>
      <c r="J53" s="92">
        <v>7</v>
      </c>
      <c r="K53" s="92">
        <v>7</v>
      </c>
      <c r="L53" s="92">
        <v>7</v>
      </c>
    </row>
    <row r="54" spans="1:12">
      <c r="A54" s="103"/>
      <c r="B54" s="104"/>
      <c r="C54" s="90">
        <f>SUM(C4:C53)</f>
        <v>33</v>
      </c>
      <c r="D54" s="90">
        <f>SUM(D4:D53)</f>
        <v>17</v>
      </c>
    </row>
    <row r="55" spans="1:12">
      <c r="A55" s="103"/>
      <c r="B55" s="104"/>
      <c r="C55" s="105">
        <f>+C54/50</f>
        <v>0.66</v>
      </c>
      <c r="D55" s="105">
        <f>+D54/50</f>
        <v>0.34</v>
      </c>
    </row>
    <row r="56" spans="1:12">
      <c r="A56" s="103"/>
      <c r="B56" s="104"/>
      <c r="C56" s="103"/>
    </row>
    <row r="57" spans="1:12">
      <c r="A57" s="103"/>
      <c r="B57" s="104"/>
      <c r="C57" s="103"/>
      <c r="D57" s="210" t="s">
        <v>91</v>
      </c>
      <c r="E57" s="211"/>
      <c r="F57" s="211"/>
      <c r="G57" s="211"/>
      <c r="H57" s="211"/>
      <c r="I57" s="211"/>
      <c r="J57" s="211"/>
      <c r="K57" s="211"/>
      <c r="L57" s="212"/>
    </row>
    <row r="58" spans="1:12">
      <c r="A58" s="103"/>
      <c r="B58" s="104"/>
      <c r="C58" s="103"/>
      <c r="D58" s="106">
        <v>7</v>
      </c>
      <c r="E58" s="107">
        <v>19</v>
      </c>
      <c r="F58" s="107">
        <v>19</v>
      </c>
      <c r="G58" s="107">
        <v>32</v>
      </c>
      <c r="H58" s="107">
        <v>7</v>
      </c>
      <c r="I58" s="107">
        <v>13</v>
      </c>
      <c r="J58" s="107">
        <v>31</v>
      </c>
      <c r="K58" s="107">
        <v>31</v>
      </c>
      <c r="L58" s="108">
        <v>19</v>
      </c>
    </row>
    <row r="59" spans="1:12">
      <c r="A59" s="103"/>
      <c r="B59" s="104"/>
      <c r="C59" s="103"/>
      <c r="D59" s="109">
        <v>6</v>
      </c>
      <c r="E59" s="90">
        <v>14</v>
      </c>
      <c r="F59" s="90">
        <v>14</v>
      </c>
      <c r="G59" s="90">
        <v>1</v>
      </c>
      <c r="H59" s="90">
        <v>26</v>
      </c>
      <c r="I59" s="90">
        <v>20</v>
      </c>
      <c r="J59" s="90">
        <v>2</v>
      </c>
      <c r="K59" s="90">
        <v>2</v>
      </c>
      <c r="L59" s="110">
        <v>14</v>
      </c>
    </row>
    <row r="60" spans="1:12">
      <c r="A60" s="103"/>
      <c r="B60" s="104"/>
      <c r="C60" s="103"/>
      <c r="D60" s="109">
        <v>5</v>
      </c>
      <c r="L60" s="110"/>
    </row>
    <row r="61" spans="1:12">
      <c r="A61" s="103"/>
      <c r="B61" s="104"/>
      <c r="C61" s="103"/>
      <c r="D61" s="109">
        <v>4</v>
      </c>
      <c r="L61" s="110"/>
    </row>
    <row r="62" spans="1:12">
      <c r="C62" s="89"/>
      <c r="D62" s="109">
        <v>3</v>
      </c>
      <c r="L62" s="110"/>
    </row>
    <row r="63" spans="1:12">
      <c r="C63" s="89"/>
      <c r="D63" s="109">
        <v>2</v>
      </c>
      <c r="L63" s="110"/>
    </row>
    <row r="64" spans="1:12">
      <c r="C64" s="89"/>
      <c r="D64" s="111">
        <v>1</v>
      </c>
      <c r="E64" s="112"/>
      <c r="F64" s="112"/>
      <c r="G64" s="112"/>
      <c r="H64" s="112"/>
      <c r="I64" s="112"/>
      <c r="J64" s="112"/>
      <c r="K64" s="112"/>
      <c r="L64" s="113"/>
    </row>
    <row r="65" spans="2:13">
      <c r="C65" s="89"/>
      <c r="D65" s="89"/>
      <c r="E65" s="90">
        <f t="shared" ref="E65:L65" si="0">SUM(E58:E64)</f>
        <v>33</v>
      </c>
      <c r="F65" s="90">
        <f t="shared" si="0"/>
        <v>33</v>
      </c>
      <c r="G65" s="90">
        <f t="shared" si="0"/>
        <v>33</v>
      </c>
      <c r="H65" s="90">
        <f t="shared" si="0"/>
        <v>33</v>
      </c>
      <c r="I65" s="90">
        <f t="shared" si="0"/>
        <v>33</v>
      </c>
      <c r="J65" s="90">
        <f t="shared" si="0"/>
        <v>33</v>
      </c>
      <c r="K65" s="90">
        <f t="shared" si="0"/>
        <v>33</v>
      </c>
      <c r="L65" s="90">
        <f t="shared" si="0"/>
        <v>33</v>
      </c>
    </row>
    <row r="66" spans="2:13">
      <c r="C66" s="89"/>
      <c r="D66" s="89"/>
    </row>
    <row r="67" spans="2:13">
      <c r="D67" s="114" t="s">
        <v>59</v>
      </c>
      <c r="E67" s="90">
        <f>$C54*7</f>
        <v>231</v>
      </c>
      <c r="F67" s="90">
        <f t="shared" ref="F67:L67" si="1">$C54*7</f>
        <v>231</v>
      </c>
      <c r="G67" s="90">
        <f t="shared" si="1"/>
        <v>231</v>
      </c>
      <c r="H67" s="90">
        <f t="shared" si="1"/>
        <v>231</v>
      </c>
      <c r="I67" s="90">
        <f t="shared" si="1"/>
        <v>231</v>
      </c>
      <c r="J67" s="90">
        <f t="shared" si="1"/>
        <v>231</v>
      </c>
      <c r="K67" s="90">
        <f t="shared" si="1"/>
        <v>231</v>
      </c>
      <c r="L67" s="90">
        <f t="shared" si="1"/>
        <v>231</v>
      </c>
      <c r="M67" s="89">
        <f>SUM(E67:L67)</f>
        <v>1848</v>
      </c>
    </row>
    <row r="68" spans="2:13" ht="17" thickBot="1">
      <c r="D68" s="114" t="s">
        <v>60</v>
      </c>
      <c r="E68" s="90">
        <f t="shared" ref="E68:L68" si="2">SUM(E4:E53)</f>
        <v>217</v>
      </c>
      <c r="F68" s="90">
        <f t="shared" si="2"/>
        <v>217</v>
      </c>
      <c r="G68" s="90">
        <f t="shared" si="2"/>
        <v>230</v>
      </c>
      <c r="H68" s="90">
        <f t="shared" si="2"/>
        <v>205</v>
      </c>
      <c r="I68" s="90">
        <f t="shared" si="2"/>
        <v>211</v>
      </c>
      <c r="J68" s="90">
        <f t="shared" si="2"/>
        <v>229</v>
      </c>
      <c r="K68" s="90">
        <f t="shared" si="2"/>
        <v>229</v>
      </c>
      <c r="L68" s="90">
        <f t="shared" si="2"/>
        <v>217</v>
      </c>
      <c r="M68" s="89">
        <f>SUM(E68:L68)</f>
        <v>1755</v>
      </c>
    </row>
    <row r="69" spans="2:13" ht="22.5" customHeight="1" thickBot="1">
      <c r="E69" s="105">
        <f t="shared" ref="E69:M69" si="3">+E68/E67</f>
        <v>0.93939393939393945</v>
      </c>
      <c r="F69" s="105">
        <f t="shared" si="3"/>
        <v>0.93939393939393945</v>
      </c>
      <c r="G69" s="105">
        <f t="shared" si="3"/>
        <v>0.99567099567099571</v>
      </c>
      <c r="H69" s="105">
        <f t="shared" si="3"/>
        <v>0.88744588744588748</v>
      </c>
      <c r="I69" s="105">
        <f t="shared" si="3"/>
        <v>0.91341991341991347</v>
      </c>
      <c r="J69" s="105">
        <f t="shared" si="3"/>
        <v>0.9913419913419913</v>
      </c>
      <c r="K69" s="105">
        <f t="shared" si="3"/>
        <v>0.9913419913419913</v>
      </c>
      <c r="L69" s="105">
        <f t="shared" si="3"/>
        <v>0.93939393939393945</v>
      </c>
      <c r="M69" s="115">
        <f t="shared" si="3"/>
        <v>0.94967532467532467</v>
      </c>
    </row>
    <row r="71" spans="2:13">
      <c r="B71" s="116" t="s">
        <v>63</v>
      </c>
    </row>
    <row r="72" spans="2:13">
      <c r="B72" s="116" t="s">
        <v>150</v>
      </c>
    </row>
    <row r="73" spans="2:13" ht="17" thickBot="1">
      <c r="B73" s="117" t="s">
        <v>151</v>
      </c>
    </row>
    <row r="74" spans="2:13" ht="17.25" customHeight="1" thickBot="1">
      <c r="B74" s="117" t="s">
        <v>109</v>
      </c>
      <c r="L74" s="204" t="s">
        <v>92</v>
      </c>
      <c r="M74" s="205"/>
    </row>
  </sheetData>
  <mergeCells count="2">
    <mergeCell ref="D57:L57"/>
    <mergeCell ref="L74:M74"/>
  </mergeCells>
  <phoneticPr fontId="2" type="noConversion"/>
  <pageMargins left="1.1499999999999999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4"/>
  <sheetViews>
    <sheetView workbookViewId="0">
      <selection activeCell="F54" sqref="F54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83203125" style="4" customWidth="1"/>
    <col min="13" max="13" width="5.83203125" style="1" customWidth="1"/>
    <col min="14" max="16384" width="9" style="1"/>
  </cols>
  <sheetData>
    <row r="1" spans="1:12" ht="18">
      <c r="A1" s="27" t="s">
        <v>140</v>
      </c>
    </row>
    <row r="2" spans="1:12">
      <c r="A2" s="5"/>
    </row>
    <row r="3" spans="1:12" ht="107.25" customHeight="1">
      <c r="A3" s="8"/>
      <c r="B3" s="9"/>
      <c r="C3" s="86" t="s">
        <v>89</v>
      </c>
      <c r="D3" s="87" t="s">
        <v>90</v>
      </c>
      <c r="E3" s="84" t="s">
        <v>54</v>
      </c>
      <c r="F3" s="85" t="s">
        <v>50</v>
      </c>
      <c r="G3" s="85" t="s">
        <v>51</v>
      </c>
      <c r="H3" s="85" t="s">
        <v>52</v>
      </c>
      <c r="I3" s="85" t="s">
        <v>53</v>
      </c>
      <c r="J3" s="85" t="s">
        <v>56</v>
      </c>
      <c r="K3" s="85" t="s">
        <v>57</v>
      </c>
      <c r="L3" s="85" t="s">
        <v>55</v>
      </c>
    </row>
    <row r="4" spans="1:12">
      <c r="A4" s="38">
        <v>1</v>
      </c>
      <c r="B4" s="71" t="s">
        <v>1</v>
      </c>
      <c r="C4" s="38">
        <v>1</v>
      </c>
      <c r="D4" s="55"/>
      <c r="E4" s="17">
        <v>7</v>
      </c>
      <c r="F4" s="8">
        <v>7</v>
      </c>
      <c r="G4" s="8">
        <v>7</v>
      </c>
      <c r="H4" s="8">
        <v>6</v>
      </c>
      <c r="I4" s="8">
        <v>7</v>
      </c>
      <c r="J4" s="8">
        <v>7</v>
      </c>
      <c r="K4" s="8">
        <v>7</v>
      </c>
      <c r="L4" s="8">
        <v>7</v>
      </c>
    </row>
    <row r="5" spans="1:12">
      <c r="A5" s="39">
        <v>2</v>
      </c>
      <c r="B5" s="72" t="s">
        <v>124</v>
      </c>
      <c r="C5" s="38">
        <v>1</v>
      </c>
      <c r="D5" s="55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</row>
    <row r="6" spans="1:12">
      <c r="A6" s="39">
        <v>3</v>
      </c>
      <c r="B6" s="71" t="s">
        <v>2</v>
      </c>
      <c r="C6" s="38">
        <v>1</v>
      </c>
      <c r="D6" s="56"/>
      <c r="E6" s="17">
        <v>7</v>
      </c>
      <c r="F6" s="8">
        <v>7</v>
      </c>
      <c r="G6" s="8">
        <v>7</v>
      </c>
      <c r="H6" s="8">
        <v>6</v>
      </c>
      <c r="I6" s="8">
        <v>7</v>
      </c>
      <c r="J6" s="8">
        <v>7</v>
      </c>
      <c r="K6" s="8">
        <v>7</v>
      </c>
      <c r="L6" s="8">
        <v>7</v>
      </c>
    </row>
    <row r="7" spans="1:12">
      <c r="A7" s="38">
        <v>4</v>
      </c>
      <c r="B7" s="73" t="s">
        <v>125</v>
      </c>
      <c r="C7" s="38">
        <v>1</v>
      </c>
      <c r="D7" s="55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</row>
    <row r="8" spans="1:12">
      <c r="A8" s="39">
        <v>5</v>
      </c>
      <c r="B8" s="72" t="s">
        <v>93</v>
      </c>
      <c r="C8" s="39">
        <v>1</v>
      </c>
      <c r="D8" s="57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81">
        <v>6</v>
      </c>
      <c r="B9" s="77" t="s">
        <v>95</v>
      </c>
      <c r="C9" s="81"/>
      <c r="D9" s="82">
        <v>1</v>
      </c>
      <c r="E9" s="79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</row>
    <row r="10" spans="1:12">
      <c r="A10" s="76">
        <v>7</v>
      </c>
      <c r="B10" s="83" t="s">
        <v>126</v>
      </c>
      <c r="C10" s="81"/>
      <c r="D10" s="82">
        <v>1</v>
      </c>
      <c r="E10" s="79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</row>
    <row r="11" spans="1:12">
      <c r="A11" s="76">
        <v>8</v>
      </c>
      <c r="B11" s="77" t="s">
        <v>14</v>
      </c>
      <c r="C11" s="76"/>
      <c r="D11" s="78">
        <v>1</v>
      </c>
      <c r="E11" s="79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80">
        <v>0</v>
      </c>
    </row>
    <row r="12" spans="1:12">
      <c r="A12" s="39">
        <v>9</v>
      </c>
      <c r="B12" s="72" t="s">
        <v>111</v>
      </c>
      <c r="C12" s="38">
        <v>1</v>
      </c>
      <c r="D12" s="55"/>
      <c r="E12" s="17">
        <v>7</v>
      </c>
      <c r="F12" s="8">
        <v>7</v>
      </c>
      <c r="G12" s="8">
        <v>7</v>
      </c>
      <c r="H12" s="8">
        <v>7</v>
      </c>
      <c r="I12" s="8">
        <v>7</v>
      </c>
      <c r="J12" s="8">
        <v>7</v>
      </c>
      <c r="K12" s="8">
        <v>7</v>
      </c>
      <c r="L12" s="8">
        <v>7</v>
      </c>
    </row>
    <row r="13" spans="1:12">
      <c r="A13" s="81">
        <v>10</v>
      </c>
      <c r="B13" s="77" t="s">
        <v>127</v>
      </c>
      <c r="C13" s="81"/>
      <c r="D13" s="82">
        <v>1</v>
      </c>
      <c r="E13" s="79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</row>
    <row r="14" spans="1:12">
      <c r="A14" s="38">
        <v>11</v>
      </c>
      <c r="B14" s="72" t="s">
        <v>96</v>
      </c>
      <c r="C14" s="38">
        <v>1</v>
      </c>
      <c r="D14" s="55"/>
      <c r="E14" s="17">
        <v>7</v>
      </c>
      <c r="F14" s="8">
        <v>7</v>
      </c>
      <c r="G14" s="8">
        <v>7</v>
      </c>
      <c r="H14" s="8">
        <v>7</v>
      </c>
      <c r="I14" s="8">
        <v>7</v>
      </c>
      <c r="J14" s="8">
        <v>7</v>
      </c>
      <c r="K14" s="8">
        <v>7</v>
      </c>
      <c r="L14" s="8">
        <v>7</v>
      </c>
    </row>
    <row r="15" spans="1:12">
      <c r="A15" s="76">
        <v>12</v>
      </c>
      <c r="B15" s="83" t="s">
        <v>128</v>
      </c>
      <c r="C15" s="76"/>
      <c r="D15" s="78">
        <v>1</v>
      </c>
      <c r="E15" s="79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</row>
    <row r="16" spans="1:12">
      <c r="A16" s="81">
        <v>13</v>
      </c>
      <c r="B16" s="77" t="s">
        <v>129</v>
      </c>
      <c r="C16" s="81"/>
      <c r="D16" s="82">
        <v>1</v>
      </c>
      <c r="E16" s="79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</row>
    <row r="17" spans="1:12">
      <c r="A17" s="81">
        <v>14</v>
      </c>
      <c r="B17" s="77" t="s">
        <v>130</v>
      </c>
      <c r="C17" s="81"/>
      <c r="D17" s="82">
        <v>1</v>
      </c>
      <c r="E17" s="79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</row>
    <row r="18" spans="1:12">
      <c r="A18" s="39">
        <v>15</v>
      </c>
      <c r="B18" s="72" t="s">
        <v>99</v>
      </c>
      <c r="C18" s="39">
        <v>1</v>
      </c>
      <c r="D18" s="57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</row>
    <row r="19" spans="1:12">
      <c r="A19" s="39">
        <v>16</v>
      </c>
      <c r="B19" s="72" t="s">
        <v>100</v>
      </c>
      <c r="C19" s="39">
        <v>1</v>
      </c>
      <c r="D19" s="57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>
      <c r="A20" s="76">
        <v>17</v>
      </c>
      <c r="B20" s="77" t="s">
        <v>131</v>
      </c>
      <c r="C20" s="81"/>
      <c r="D20" s="82">
        <v>1</v>
      </c>
      <c r="E20" s="79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</row>
    <row r="21" spans="1:12">
      <c r="A21" s="39">
        <v>18</v>
      </c>
      <c r="B21" s="72" t="s">
        <v>101</v>
      </c>
      <c r="C21" s="38">
        <v>1</v>
      </c>
      <c r="D21" s="55"/>
      <c r="E21" s="17">
        <v>6</v>
      </c>
      <c r="F21" s="8">
        <v>6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7</v>
      </c>
    </row>
    <row r="22" spans="1:12">
      <c r="A22" s="39">
        <v>19</v>
      </c>
      <c r="B22" s="72" t="s">
        <v>69</v>
      </c>
      <c r="C22" s="38">
        <v>1</v>
      </c>
      <c r="D22" s="55"/>
      <c r="E22" s="17">
        <v>6</v>
      </c>
      <c r="F22" s="8">
        <v>7</v>
      </c>
      <c r="G22" s="8">
        <v>7</v>
      </c>
      <c r="H22" s="8">
        <v>6</v>
      </c>
      <c r="I22" s="8">
        <v>7</v>
      </c>
      <c r="J22" s="8">
        <v>7</v>
      </c>
      <c r="K22" s="8">
        <v>7</v>
      </c>
      <c r="L22" s="8">
        <v>7</v>
      </c>
    </row>
    <row r="23" spans="1:12">
      <c r="A23" s="39">
        <v>20</v>
      </c>
      <c r="B23" s="72" t="s">
        <v>22</v>
      </c>
      <c r="C23" s="38">
        <v>1</v>
      </c>
      <c r="D23" s="55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6</v>
      </c>
    </row>
    <row r="24" spans="1:12">
      <c r="A24" s="39">
        <v>21</v>
      </c>
      <c r="B24" s="72" t="s">
        <v>102</v>
      </c>
      <c r="C24" s="39">
        <v>1</v>
      </c>
      <c r="D24" s="57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81">
        <v>22</v>
      </c>
      <c r="B25" s="83" t="s">
        <v>24</v>
      </c>
      <c r="C25" s="81"/>
      <c r="D25" s="82">
        <v>1</v>
      </c>
      <c r="E25" s="79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</row>
    <row r="26" spans="1:12">
      <c r="A26" s="76">
        <v>23</v>
      </c>
      <c r="B26" s="77" t="s">
        <v>113</v>
      </c>
      <c r="C26" s="76"/>
      <c r="D26" s="78">
        <v>1</v>
      </c>
      <c r="E26" s="79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</row>
    <row r="27" spans="1:12">
      <c r="A27" s="39">
        <v>24</v>
      </c>
      <c r="B27" s="72" t="s">
        <v>70</v>
      </c>
      <c r="C27" s="39">
        <v>1</v>
      </c>
      <c r="D27" s="57"/>
      <c r="E27" s="17">
        <v>7</v>
      </c>
      <c r="F27" s="8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</row>
    <row r="28" spans="1:12">
      <c r="A28" s="39">
        <v>25</v>
      </c>
      <c r="B28" s="72" t="s">
        <v>71</v>
      </c>
      <c r="C28" s="39">
        <v>1</v>
      </c>
      <c r="D28" s="57"/>
      <c r="E28" s="17">
        <v>6</v>
      </c>
      <c r="F28" s="8">
        <v>6</v>
      </c>
      <c r="G28" s="8">
        <v>7</v>
      </c>
      <c r="H28" s="8">
        <v>6</v>
      </c>
      <c r="I28" s="8">
        <v>6</v>
      </c>
      <c r="J28" s="8">
        <v>7</v>
      </c>
      <c r="K28" s="8">
        <v>7</v>
      </c>
      <c r="L28" s="8">
        <v>6</v>
      </c>
    </row>
    <row r="29" spans="1:12">
      <c r="A29" s="39">
        <v>26</v>
      </c>
      <c r="B29" s="72" t="s">
        <v>72</v>
      </c>
      <c r="C29" s="39">
        <v>1</v>
      </c>
      <c r="D29" s="57"/>
      <c r="E29" s="17">
        <v>7</v>
      </c>
      <c r="F29" s="8">
        <v>7</v>
      </c>
      <c r="G29" s="8">
        <v>7</v>
      </c>
      <c r="H29" s="8">
        <v>6</v>
      </c>
      <c r="I29" s="8">
        <v>7</v>
      </c>
      <c r="J29" s="8">
        <v>7</v>
      </c>
      <c r="K29" s="8">
        <v>7</v>
      </c>
      <c r="L29" s="8">
        <v>7</v>
      </c>
    </row>
    <row r="30" spans="1:12">
      <c r="A30" s="76">
        <v>27</v>
      </c>
      <c r="B30" s="77" t="s">
        <v>115</v>
      </c>
      <c r="C30" s="76"/>
      <c r="D30" s="78">
        <v>1</v>
      </c>
      <c r="E30" s="79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</row>
    <row r="31" spans="1:12">
      <c r="A31" s="39">
        <v>28</v>
      </c>
      <c r="B31" s="72" t="s">
        <v>104</v>
      </c>
      <c r="C31" s="38">
        <v>1</v>
      </c>
      <c r="D31" s="55"/>
      <c r="E31" s="17">
        <v>7</v>
      </c>
      <c r="F31" s="8">
        <v>7</v>
      </c>
      <c r="G31" s="8">
        <v>7</v>
      </c>
      <c r="H31" s="8">
        <v>7</v>
      </c>
      <c r="I31" s="8">
        <v>7</v>
      </c>
      <c r="J31" s="8">
        <v>7</v>
      </c>
      <c r="K31" s="8">
        <v>7</v>
      </c>
      <c r="L31" s="8">
        <v>7</v>
      </c>
    </row>
    <row r="32" spans="1:12">
      <c r="A32" s="76">
        <v>29</v>
      </c>
      <c r="B32" s="77" t="s">
        <v>33</v>
      </c>
      <c r="C32" s="76"/>
      <c r="D32" s="78">
        <v>1</v>
      </c>
      <c r="E32" s="79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</row>
    <row r="33" spans="1:12">
      <c r="A33" s="39">
        <v>30</v>
      </c>
      <c r="B33" s="72" t="s">
        <v>132</v>
      </c>
      <c r="C33" s="39">
        <v>1</v>
      </c>
      <c r="D33" s="57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</row>
    <row r="34" spans="1:12">
      <c r="A34" s="76">
        <v>31</v>
      </c>
      <c r="B34" s="83" t="s">
        <v>133</v>
      </c>
      <c r="C34" s="76"/>
      <c r="D34" s="78">
        <v>1</v>
      </c>
      <c r="E34" s="79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>
        <v>0</v>
      </c>
      <c r="L34" s="80">
        <v>0</v>
      </c>
    </row>
    <row r="35" spans="1:12">
      <c r="A35" s="81">
        <v>32</v>
      </c>
      <c r="B35" s="77" t="s">
        <v>116</v>
      </c>
      <c r="C35" s="81"/>
      <c r="D35" s="82">
        <v>1</v>
      </c>
      <c r="E35" s="79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>
        <v>0</v>
      </c>
      <c r="L35" s="80">
        <v>0</v>
      </c>
    </row>
    <row r="36" spans="1:12">
      <c r="A36" s="39">
        <v>33</v>
      </c>
      <c r="B36" s="72" t="s">
        <v>134</v>
      </c>
      <c r="C36" s="39">
        <v>1</v>
      </c>
      <c r="D36" s="57"/>
      <c r="E36" s="17">
        <v>7</v>
      </c>
      <c r="F36" s="8">
        <v>7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7</v>
      </c>
    </row>
    <row r="37" spans="1:12">
      <c r="A37" s="76">
        <v>34</v>
      </c>
      <c r="B37" s="77" t="s">
        <v>34</v>
      </c>
      <c r="C37" s="76"/>
      <c r="D37" s="78">
        <v>1</v>
      </c>
      <c r="E37" s="79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>
        <v>0</v>
      </c>
      <c r="L37" s="80">
        <v>0</v>
      </c>
    </row>
    <row r="38" spans="1:12">
      <c r="A38" s="39">
        <v>35</v>
      </c>
      <c r="B38" s="72" t="s">
        <v>117</v>
      </c>
      <c r="C38" s="39">
        <v>1</v>
      </c>
      <c r="D38" s="57"/>
      <c r="E38" s="17">
        <v>7</v>
      </c>
      <c r="F38" s="17">
        <v>7</v>
      </c>
      <c r="G38" s="17">
        <v>7</v>
      </c>
      <c r="H38" s="17">
        <v>7</v>
      </c>
      <c r="I38" s="17">
        <v>7</v>
      </c>
      <c r="J38" s="8">
        <v>7</v>
      </c>
      <c r="K38" s="8">
        <v>7</v>
      </c>
      <c r="L38" s="8">
        <v>7</v>
      </c>
    </row>
    <row r="39" spans="1:12">
      <c r="A39" s="76">
        <v>36</v>
      </c>
      <c r="B39" s="77" t="s">
        <v>75</v>
      </c>
      <c r="C39" s="76"/>
      <c r="D39" s="78">
        <v>1</v>
      </c>
      <c r="E39" s="79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80">
        <v>0</v>
      </c>
    </row>
    <row r="40" spans="1:12">
      <c r="A40" s="39">
        <v>37</v>
      </c>
      <c r="B40" s="72" t="s">
        <v>37</v>
      </c>
      <c r="C40" s="39">
        <v>1</v>
      </c>
      <c r="D40" s="57"/>
      <c r="E40" s="17">
        <v>7</v>
      </c>
      <c r="F40" s="8">
        <v>6</v>
      </c>
      <c r="G40" s="8">
        <v>6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</row>
    <row r="41" spans="1:12">
      <c r="A41" s="76">
        <v>38</v>
      </c>
      <c r="B41" s="77" t="s">
        <v>135</v>
      </c>
      <c r="C41" s="76"/>
      <c r="D41" s="78">
        <v>1</v>
      </c>
      <c r="E41" s="79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</row>
    <row r="42" spans="1:12">
      <c r="A42" s="76">
        <v>39</v>
      </c>
      <c r="B42" s="77" t="s">
        <v>136</v>
      </c>
      <c r="C42" s="76"/>
      <c r="D42" s="78">
        <v>1</v>
      </c>
      <c r="E42" s="79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v>0</v>
      </c>
      <c r="L42" s="80">
        <v>0</v>
      </c>
    </row>
    <row r="43" spans="1:12">
      <c r="A43" s="39">
        <v>40</v>
      </c>
      <c r="B43" s="72" t="s">
        <v>76</v>
      </c>
      <c r="C43" s="39">
        <v>1</v>
      </c>
      <c r="D43" s="57"/>
      <c r="E43" s="17">
        <v>7</v>
      </c>
      <c r="F43" s="17">
        <v>7</v>
      </c>
      <c r="G43" s="17">
        <v>7</v>
      </c>
      <c r="H43" s="17">
        <v>7</v>
      </c>
      <c r="I43" s="17">
        <v>7</v>
      </c>
      <c r="J43" s="8">
        <v>7</v>
      </c>
      <c r="K43" s="8">
        <v>7</v>
      </c>
      <c r="L43" s="8">
        <v>7</v>
      </c>
    </row>
    <row r="44" spans="1:12">
      <c r="A44" s="39">
        <v>41</v>
      </c>
      <c r="B44" s="72" t="s">
        <v>38</v>
      </c>
      <c r="C44" s="39">
        <v>1</v>
      </c>
      <c r="D44" s="57"/>
      <c r="E44" s="17">
        <v>7</v>
      </c>
      <c r="F44" s="17">
        <v>7</v>
      </c>
      <c r="G44" s="17">
        <v>7</v>
      </c>
      <c r="H44" s="17">
        <v>7</v>
      </c>
      <c r="I44" s="17">
        <v>7</v>
      </c>
      <c r="J44" s="8">
        <v>7</v>
      </c>
      <c r="K44" s="8">
        <v>7</v>
      </c>
      <c r="L44" s="8">
        <v>6</v>
      </c>
    </row>
    <row r="45" spans="1:12">
      <c r="A45" s="39">
        <v>42</v>
      </c>
      <c r="B45" s="72" t="s">
        <v>77</v>
      </c>
      <c r="C45" s="39">
        <v>1</v>
      </c>
      <c r="D45" s="57"/>
      <c r="E45" s="17">
        <v>7</v>
      </c>
      <c r="F45" s="8">
        <v>7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7</v>
      </c>
    </row>
    <row r="46" spans="1:12">
      <c r="A46" s="39">
        <v>43</v>
      </c>
      <c r="B46" s="72" t="s">
        <v>40</v>
      </c>
      <c r="C46" s="39">
        <v>1</v>
      </c>
      <c r="D46" s="57"/>
      <c r="E46" s="17">
        <v>6</v>
      </c>
      <c r="F46" s="8">
        <v>6</v>
      </c>
      <c r="G46" s="8">
        <v>7</v>
      </c>
      <c r="H46" s="8">
        <v>6</v>
      </c>
      <c r="I46" s="8">
        <v>6</v>
      </c>
      <c r="J46" s="8">
        <v>7</v>
      </c>
      <c r="K46" s="8">
        <v>7</v>
      </c>
      <c r="L46" s="8">
        <v>6</v>
      </c>
    </row>
    <row r="47" spans="1:12">
      <c r="A47" s="39">
        <v>44</v>
      </c>
      <c r="B47" s="72" t="s">
        <v>119</v>
      </c>
      <c r="C47" s="38">
        <v>1</v>
      </c>
      <c r="D47" s="55"/>
      <c r="E47" s="17">
        <v>6</v>
      </c>
      <c r="F47" s="8">
        <v>6</v>
      </c>
      <c r="G47" s="8">
        <v>7</v>
      </c>
      <c r="H47" s="8">
        <v>6</v>
      </c>
      <c r="I47" s="8">
        <v>6</v>
      </c>
      <c r="J47" s="8">
        <v>7</v>
      </c>
      <c r="K47" s="8">
        <v>7</v>
      </c>
      <c r="L47" s="8">
        <v>6</v>
      </c>
    </row>
    <row r="48" spans="1:12">
      <c r="A48" s="39">
        <v>45</v>
      </c>
      <c r="B48" s="73" t="s">
        <v>42</v>
      </c>
      <c r="C48" s="39">
        <v>1</v>
      </c>
      <c r="D48" s="57"/>
      <c r="E48" s="17">
        <v>7</v>
      </c>
      <c r="F48" s="17">
        <v>7</v>
      </c>
      <c r="G48" s="17">
        <v>7</v>
      </c>
      <c r="H48" s="17">
        <v>6</v>
      </c>
      <c r="I48" s="17">
        <v>7</v>
      </c>
      <c r="J48" s="17">
        <v>7</v>
      </c>
      <c r="K48" s="17">
        <v>7</v>
      </c>
      <c r="L48" s="17">
        <v>7</v>
      </c>
    </row>
    <row r="49" spans="1:12">
      <c r="A49" s="39">
        <v>46</v>
      </c>
      <c r="B49" s="72" t="s">
        <v>43</v>
      </c>
      <c r="C49" s="39">
        <v>1</v>
      </c>
      <c r="D49" s="57"/>
      <c r="E49" s="17">
        <v>6</v>
      </c>
      <c r="F49" s="8">
        <v>6</v>
      </c>
      <c r="G49" s="8">
        <v>7</v>
      </c>
      <c r="H49" s="8">
        <v>6</v>
      </c>
      <c r="I49" s="8">
        <v>6</v>
      </c>
      <c r="J49" s="8">
        <v>7</v>
      </c>
      <c r="K49" s="8">
        <v>7</v>
      </c>
      <c r="L49" s="8">
        <v>6</v>
      </c>
    </row>
    <row r="50" spans="1:12">
      <c r="A50" s="38">
        <v>47</v>
      </c>
      <c r="B50" s="72" t="s">
        <v>120</v>
      </c>
      <c r="C50" s="38">
        <v>1</v>
      </c>
      <c r="D50" s="55"/>
      <c r="E50" s="17">
        <v>6</v>
      </c>
      <c r="F50" s="8">
        <v>6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6</v>
      </c>
    </row>
    <row r="51" spans="1:12">
      <c r="A51" s="39">
        <v>48</v>
      </c>
      <c r="B51" s="72" t="s">
        <v>137</v>
      </c>
      <c r="C51" s="39">
        <v>1</v>
      </c>
      <c r="D51" s="57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39">
        <v>49</v>
      </c>
      <c r="B52" s="72" t="s">
        <v>106</v>
      </c>
      <c r="C52" s="39">
        <v>1</v>
      </c>
      <c r="D52" s="57"/>
      <c r="E52" s="17">
        <v>6</v>
      </c>
      <c r="F52" s="8">
        <v>6</v>
      </c>
      <c r="G52" s="8">
        <v>7</v>
      </c>
      <c r="H52" s="8">
        <v>6</v>
      </c>
      <c r="I52" s="8">
        <v>6</v>
      </c>
      <c r="J52" s="8">
        <v>7</v>
      </c>
      <c r="K52" s="8">
        <v>7</v>
      </c>
      <c r="L52" s="8">
        <v>6</v>
      </c>
    </row>
    <row r="53" spans="1:12">
      <c r="A53" s="38">
        <v>50</v>
      </c>
      <c r="B53" s="71" t="s">
        <v>108</v>
      </c>
      <c r="C53" s="38">
        <v>1</v>
      </c>
      <c r="D53" s="55"/>
      <c r="E53" s="17">
        <v>7</v>
      </c>
      <c r="F53" s="8">
        <v>7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7</v>
      </c>
    </row>
    <row r="54" spans="1:12">
      <c r="A54" s="29"/>
      <c r="B54" s="30"/>
      <c r="C54" s="4">
        <f>SUM(C4:C53)</f>
        <v>32</v>
      </c>
      <c r="D54" s="4">
        <f>SUM(D4:D53)</f>
        <v>18</v>
      </c>
    </row>
    <row r="55" spans="1:12">
      <c r="A55" s="29"/>
      <c r="B55" s="30"/>
      <c r="C55" s="45">
        <f>+C54/50</f>
        <v>0.64</v>
      </c>
      <c r="D55" s="45">
        <f>+D54/50</f>
        <v>0.36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19</v>
      </c>
      <c r="F58" s="64">
        <v>19</v>
      </c>
      <c r="G58" s="64">
        <v>31</v>
      </c>
      <c r="H58" s="64">
        <v>8</v>
      </c>
      <c r="I58" s="64">
        <v>14</v>
      </c>
      <c r="J58" s="64">
        <v>31</v>
      </c>
      <c r="K58" s="64">
        <v>31</v>
      </c>
      <c r="L58" s="65">
        <v>19</v>
      </c>
    </row>
    <row r="59" spans="1:12">
      <c r="A59" s="29"/>
      <c r="B59" s="30"/>
      <c r="C59" s="29"/>
      <c r="D59" s="69">
        <v>6</v>
      </c>
      <c r="E59" s="4">
        <v>13</v>
      </c>
      <c r="F59" s="4">
        <v>13</v>
      </c>
      <c r="G59" s="4">
        <v>1</v>
      </c>
      <c r="H59" s="4">
        <v>24</v>
      </c>
      <c r="I59" s="4">
        <v>18</v>
      </c>
      <c r="J59" s="4">
        <v>1</v>
      </c>
      <c r="K59" s="4">
        <v>1</v>
      </c>
      <c r="L59" s="66">
        <v>13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0">SUM(E58:E64)</f>
        <v>32</v>
      </c>
      <c r="F65" s="4">
        <f t="shared" si="0"/>
        <v>32</v>
      </c>
      <c r="G65" s="4">
        <f t="shared" si="0"/>
        <v>32</v>
      </c>
      <c r="H65" s="4">
        <f t="shared" si="0"/>
        <v>32</v>
      </c>
      <c r="I65" s="4">
        <f t="shared" si="0"/>
        <v>32</v>
      </c>
      <c r="J65" s="4">
        <f t="shared" si="0"/>
        <v>32</v>
      </c>
      <c r="K65" s="4">
        <f t="shared" si="0"/>
        <v>32</v>
      </c>
      <c r="L65" s="4">
        <f t="shared" si="0"/>
        <v>32</v>
      </c>
    </row>
    <row r="66" spans="2:13">
      <c r="C66" s="1"/>
      <c r="D66" s="1"/>
    </row>
    <row r="67" spans="2:13">
      <c r="D67" s="28" t="s">
        <v>59</v>
      </c>
      <c r="E67" s="4">
        <f>$C54*7</f>
        <v>224</v>
      </c>
      <c r="F67" s="4">
        <f t="shared" ref="F67:L67" si="1">$C54*7</f>
        <v>224</v>
      </c>
      <c r="G67" s="4">
        <f t="shared" si="1"/>
        <v>224</v>
      </c>
      <c r="H67" s="4">
        <f t="shared" si="1"/>
        <v>224</v>
      </c>
      <c r="I67" s="4">
        <f t="shared" si="1"/>
        <v>224</v>
      </c>
      <c r="J67" s="4">
        <f t="shared" si="1"/>
        <v>224</v>
      </c>
      <c r="K67" s="4">
        <f t="shared" si="1"/>
        <v>224</v>
      </c>
      <c r="L67" s="4">
        <f t="shared" si="1"/>
        <v>224</v>
      </c>
      <c r="M67" s="1">
        <f>SUM(E67:L67)</f>
        <v>1792</v>
      </c>
    </row>
    <row r="68" spans="2:13" ht="17" thickBot="1">
      <c r="D68" s="28" t="s">
        <v>60</v>
      </c>
      <c r="E68" s="4">
        <f t="shared" ref="E68:L68" si="2">SUM(E4:E53)</f>
        <v>211</v>
      </c>
      <c r="F68" s="4">
        <f t="shared" si="2"/>
        <v>211</v>
      </c>
      <c r="G68" s="4">
        <f t="shared" si="2"/>
        <v>223</v>
      </c>
      <c r="H68" s="4">
        <f t="shared" si="2"/>
        <v>200</v>
      </c>
      <c r="I68" s="4">
        <f t="shared" si="2"/>
        <v>206</v>
      </c>
      <c r="J68" s="4">
        <f t="shared" si="2"/>
        <v>223</v>
      </c>
      <c r="K68" s="4">
        <f t="shared" si="2"/>
        <v>223</v>
      </c>
      <c r="L68" s="4">
        <f t="shared" si="2"/>
        <v>211</v>
      </c>
      <c r="M68" s="1">
        <f>SUM(E68:L68)</f>
        <v>1708</v>
      </c>
    </row>
    <row r="69" spans="2:13" ht="22.5" customHeight="1" thickBot="1">
      <c r="E69" s="45">
        <f t="shared" ref="E69:M69" si="3">+E68/E67</f>
        <v>0.9419642857142857</v>
      </c>
      <c r="F69" s="45">
        <f t="shared" si="3"/>
        <v>0.9419642857142857</v>
      </c>
      <c r="G69" s="45">
        <f t="shared" si="3"/>
        <v>0.9955357142857143</v>
      </c>
      <c r="H69" s="45">
        <f t="shared" si="3"/>
        <v>0.8928571428571429</v>
      </c>
      <c r="I69" s="45">
        <f t="shared" si="3"/>
        <v>0.9196428571428571</v>
      </c>
      <c r="J69" s="45">
        <f t="shared" si="3"/>
        <v>0.9955357142857143</v>
      </c>
      <c r="K69" s="45">
        <f t="shared" si="3"/>
        <v>0.9955357142857143</v>
      </c>
      <c r="L69" s="45">
        <f t="shared" si="3"/>
        <v>0.9419642857142857</v>
      </c>
      <c r="M69" s="46">
        <f t="shared" si="3"/>
        <v>0.953125</v>
      </c>
    </row>
    <row r="71" spans="2:13">
      <c r="B71" s="62" t="s">
        <v>63</v>
      </c>
    </row>
    <row r="72" spans="2:13">
      <c r="B72" s="62" t="s">
        <v>138</v>
      </c>
    </row>
    <row r="73" spans="2:13" ht="17" thickBot="1">
      <c r="B73" s="63" t="s">
        <v>139</v>
      </c>
    </row>
    <row r="74" spans="2:13" ht="17.25" customHeight="1" thickBot="1">
      <c r="B74" s="63" t="s">
        <v>109</v>
      </c>
      <c r="L74" s="208" t="s">
        <v>92</v>
      </c>
      <c r="M74" s="209"/>
    </row>
  </sheetData>
  <mergeCells count="2">
    <mergeCell ref="D57:L57"/>
    <mergeCell ref="L74:M74"/>
  </mergeCells>
  <phoneticPr fontId="2" type="noConversion"/>
  <pageMargins left="1.1499999999999999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4"/>
  <sheetViews>
    <sheetView topLeftCell="A10" workbookViewId="0">
      <selection activeCell="B41" sqref="B41"/>
    </sheetView>
  </sheetViews>
  <sheetFormatPr baseColWidth="10" defaultColWidth="9" defaultRowHeight="16"/>
  <cols>
    <col min="1" max="1" width="4.83203125" style="4" customWidth="1"/>
    <col min="2" max="2" width="28.5" style="1" customWidth="1"/>
    <col min="3" max="4" width="5.33203125" style="4" customWidth="1"/>
    <col min="5" max="12" width="5.5" style="4" customWidth="1"/>
    <col min="13" max="13" width="5.83203125" style="1" customWidth="1"/>
    <col min="14" max="16384" width="9" style="1"/>
  </cols>
  <sheetData>
    <row r="1" spans="1:12" ht="18">
      <c r="A1" s="27" t="s">
        <v>121</v>
      </c>
    </row>
    <row r="2" spans="1:12">
      <c r="A2" s="5"/>
    </row>
    <row r="3" spans="1:12" ht="107.25" customHeight="1">
      <c r="A3" s="8"/>
      <c r="B3" s="9"/>
      <c r="C3" s="60" t="s">
        <v>89</v>
      </c>
      <c r="D3" s="61" t="s">
        <v>90</v>
      </c>
      <c r="E3" s="16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K3" s="10" t="s">
        <v>84</v>
      </c>
      <c r="L3" s="10" t="s">
        <v>85</v>
      </c>
    </row>
    <row r="4" spans="1:12">
      <c r="A4" s="38">
        <v>1</v>
      </c>
      <c r="B4" s="71" t="s">
        <v>1</v>
      </c>
      <c r="C4" s="38">
        <v>1</v>
      </c>
      <c r="D4" s="55"/>
      <c r="E4" s="17">
        <v>7</v>
      </c>
      <c r="F4" s="8">
        <v>7</v>
      </c>
      <c r="G4" s="8">
        <v>7</v>
      </c>
      <c r="H4" s="8">
        <v>6</v>
      </c>
      <c r="I4" s="8">
        <v>7</v>
      </c>
      <c r="J4" s="8">
        <v>7</v>
      </c>
      <c r="K4" s="8">
        <v>7</v>
      </c>
      <c r="L4" s="8">
        <v>7</v>
      </c>
    </row>
    <row r="5" spans="1:12">
      <c r="A5" s="39">
        <v>2</v>
      </c>
      <c r="B5" s="72" t="s">
        <v>2</v>
      </c>
      <c r="C5" s="38">
        <v>1</v>
      </c>
      <c r="D5" s="55"/>
      <c r="E5" s="17">
        <v>6</v>
      </c>
      <c r="F5" s="8">
        <v>6</v>
      </c>
      <c r="G5" s="8">
        <v>7</v>
      </c>
      <c r="H5" s="8">
        <v>6</v>
      </c>
      <c r="I5" s="8">
        <v>6</v>
      </c>
      <c r="J5" s="8">
        <v>7</v>
      </c>
      <c r="K5" s="8">
        <v>7</v>
      </c>
      <c r="L5" s="8">
        <v>6</v>
      </c>
    </row>
    <row r="6" spans="1:12">
      <c r="A6" s="39">
        <v>3</v>
      </c>
      <c r="B6" s="71" t="s">
        <v>93</v>
      </c>
      <c r="C6" s="38">
        <v>1</v>
      </c>
      <c r="D6" s="56"/>
      <c r="E6" s="17">
        <v>7</v>
      </c>
      <c r="F6" s="8">
        <v>7</v>
      </c>
      <c r="G6" s="8">
        <v>7</v>
      </c>
      <c r="H6" s="8">
        <v>6</v>
      </c>
      <c r="I6" s="8">
        <v>7</v>
      </c>
      <c r="J6" s="8">
        <v>7</v>
      </c>
      <c r="K6" s="8">
        <v>7</v>
      </c>
      <c r="L6" s="8">
        <v>7</v>
      </c>
    </row>
    <row r="7" spans="1:12">
      <c r="A7" s="38">
        <v>4</v>
      </c>
      <c r="B7" s="72" t="s">
        <v>68</v>
      </c>
      <c r="C7" s="38">
        <v>1</v>
      </c>
      <c r="D7" s="55"/>
      <c r="E7" s="17">
        <v>6</v>
      </c>
      <c r="F7" s="8">
        <v>6</v>
      </c>
      <c r="G7" s="8">
        <v>7</v>
      </c>
      <c r="H7" s="8">
        <v>6</v>
      </c>
      <c r="I7" s="8">
        <v>6</v>
      </c>
      <c r="J7" s="8">
        <v>7</v>
      </c>
      <c r="K7" s="8">
        <v>7</v>
      </c>
      <c r="L7" s="8">
        <v>6</v>
      </c>
    </row>
    <row r="8" spans="1:12">
      <c r="A8" s="39">
        <v>5</v>
      </c>
      <c r="B8" s="72" t="s">
        <v>94</v>
      </c>
      <c r="C8" s="39">
        <v>1</v>
      </c>
      <c r="D8" s="57"/>
      <c r="E8" s="17">
        <v>6</v>
      </c>
      <c r="F8" s="8">
        <v>6</v>
      </c>
      <c r="G8" s="8">
        <v>7</v>
      </c>
      <c r="H8" s="8">
        <v>6</v>
      </c>
      <c r="I8" s="8">
        <v>6</v>
      </c>
      <c r="J8" s="8">
        <v>7</v>
      </c>
      <c r="K8" s="8">
        <v>7</v>
      </c>
      <c r="L8" s="8">
        <v>6</v>
      </c>
    </row>
    <row r="9" spans="1:12">
      <c r="A9" s="38">
        <v>6</v>
      </c>
      <c r="B9" s="72" t="s">
        <v>95</v>
      </c>
      <c r="C9" s="38">
        <v>1</v>
      </c>
      <c r="D9" s="55"/>
      <c r="E9" s="17">
        <v>6</v>
      </c>
      <c r="F9" s="8">
        <v>6</v>
      </c>
      <c r="G9" s="8">
        <v>7</v>
      </c>
      <c r="H9" s="8">
        <v>6</v>
      </c>
      <c r="I9" s="8">
        <v>6</v>
      </c>
      <c r="J9" s="8">
        <v>7</v>
      </c>
      <c r="K9" s="8">
        <v>7</v>
      </c>
      <c r="L9" s="8">
        <v>6</v>
      </c>
    </row>
    <row r="10" spans="1:12">
      <c r="A10" s="58">
        <v>7</v>
      </c>
      <c r="B10" s="75" t="s">
        <v>110</v>
      </c>
      <c r="C10" s="47"/>
      <c r="D10" s="49">
        <v>1</v>
      </c>
      <c r="E10" s="51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</row>
    <row r="11" spans="1:12">
      <c r="A11" s="39">
        <v>8</v>
      </c>
      <c r="B11" s="72" t="s">
        <v>14</v>
      </c>
      <c r="C11" s="39">
        <v>1</v>
      </c>
      <c r="D11" s="57"/>
      <c r="E11" s="17">
        <v>7</v>
      </c>
      <c r="F11" s="8">
        <v>7</v>
      </c>
      <c r="G11" s="8">
        <v>7</v>
      </c>
      <c r="H11" s="8">
        <v>7</v>
      </c>
      <c r="I11" s="8">
        <v>7</v>
      </c>
      <c r="J11" s="8">
        <v>7</v>
      </c>
      <c r="K11" s="8">
        <v>7</v>
      </c>
      <c r="L11" s="8">
        <v>7</v>
      </c>
    </row>
    <row r="12" spans="1:12">
      <c r="A12" s="58">
        <v>9</v>
      </c>
      <c r="B12" s="74" t="s">
        <v>111</v>
      </c>
      <c r="C12" s="47"/>
      <c r="D12" s="49">
        <v>1</v>
      </c>
      <c r="E12" s="51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</row>
    <row r="13" spans="1:12">
      <c r="A13" s="38">
        <v>10</v>
      </c>
      <c r="B13" s="72" t="s">
        <v>96</v>
      </c>
      <c r="C13" s="38">
        <v>1</v>
      </c>
      <c r="D13" s="55"/>
      <c r="E13" s="17">
        <v>6</v>
      </c>
      <c r="F13" s="8">
        <v>6</v>
      </c>
      <c r="G13" s="8">
        <v>7</v>
      </c>
      <c r="H13" s="8">
        <v>6</v>
      </c>
      <c r="I13" s="8">
        <v>6</v>
      </c>
      <c r="J13" s="8">
        <v>7</v>
      </c>
      <c r="K13" s="8">
        <v>7</v>
      </c>
      <c r="L13" s="8">
        <v>6</v>
      </c>
    </row>
    <row r="14" spans="1:12">
      <c r="A14" s="47">
        <v>11</v>
      </c>
      <c r="B14" s="74" t="s">
        <v>112</v>
      </c>
      <c r="C14" s="47"/>
      <c r="D14" s="49">
        <v>1</v>
      </c>
      <c r="E14" s="51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</row>
    <row r="15" spans="1:12">
      <c r="A15" s="39">
        <v>12</v>
      </c>
      <c r="B15" s="73" t="s">
        <v>97</v>
      </c>
      <c r="C15" s="39">
        <v>1</v>
      </c>
      <c r="D15" s="57"/>
      <c r="E15" s="17">
        <v>6</v>
      </c>
      <c r="F15" s="8">
        <v>6</v>
      </c>
      <c r="G15" s="8">
        <v>6</v>
      </c>
      <c r="H15" s="8">
        <v>6</v>
      </c>
      <c r="I15" s="8">
        <v>6</v>
      </c>
      <c r="J15" s="8">
        <v>6</v>
      </c>
      <c r="K15" s="8">
        <v>6</v>
      </c>
      <c r="L15" s="8">
        <v>6</v>
      </c>
    </row>
    <row r="16" spans="1:12">
      <c r="A16" s="47">
        <v>13</v>
      </c>
      <c r="B16" s="74" t="s">
        <v>98</v>
      </c>
      <c r="C16" s="47"/>
      <c r="D16" s="49">
        <v>1</v>
      </c>
      <c r="E16" s="51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</row>
    <row r="17" spans="1:12">
      <c r="A17" s="47">
        <v>14</v>
      </c>
      <c r="B17" s="74" t="s">
        <v>99</v>
      </c>
      <c r="C17" s="47"/>
      <c r="D17" s="49">
        <v>1</v>
      </c>
      <c r="E17" s="51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</row>
    <row r="18" spans="1:12">
      <c r="A18" s="39">
        <v>15</v>
      </c>
      <c r="B18" s="72" t="s">
        <v>100</v>
      </c>
      <c r="C18" s="39">
        <v>1</v>
      </c>
      <c r="D18" s="57"/>
      <c r="E18" s="17">
        <v>7</v>
      </c>
      <c r="F18" s="8">
        <v>7</v>
      </c>
      <c r="G18" s="8">
        <v>7</v>
      </c>
      <c r="H18" s="8">
        <v>6</v>
      </c>
      <c r="I18" s="8">
        <v>6</v>
      </c>
      <c r="J18" s="8">
        <v>7</v>
      </c>
      <c r="K18" s="8">
        <v>7</v>
      </c>
      <c r="L18" s="8">
        <v>7</v>
      </c>
    </row>
    <row r="19" spans="1:12">
      <c r="A19" s="39">
        <v>16</v>
      </c>
      <c r="B19" s="72" t="s">
        <v>101</v>
      </c>
      <c r="C19" s="39">
        <v>1</v>
      </c>
      <c r="D19" s="57"/>
      <c r="E19" s="17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</row>
    <row r="20" spans="1:12">
      <c r="A20" s="39">
        <v>17</v>
      </c>
      <c r="B20" s="72" t="s">
        <v>69</v>
      </c>
      <c r="C20" s="38">
        <v>1</v>
      </c>
      <c r="D20" s="55"/>
      <c r="E20" s="17">
        <v>6</v>
      </c>
      <c r="F20" s="8">
        <v>6</v>
      </c>
      <c r="G20" s="8">
        <v>7</v>
      </c>
      <c r="H20" s="8">
        <v>6</v>
      </c>
      <c r="I20" s="8">
        <v>6</v>
      </c>
      <c r="J20" s="8">
        <v>7</v>
      </c>
      <c r="K20" s="8">
        <v>7</v>
      </c>
      <c r="L20" s="8">
        <v>7</v>
      </c>
    </row>
    <row r="21" spans="1:12">
      <c r="A21" s="39">
        <v>18</v>
      </c>
      <c r="B21" s="73" t="s">
        <v>22</v>
      </c>
      <c r="C21" s="38">
        <v>1</v>
      </c>
      <c r="D21" s="55"/>
      <c r="E21" s="17">
        <v>6</v>
      </c>
      <c r="F21" s="8">
        <v>6</v>
      </c>
      <c r="G21" s="8">
        <v>7</v>
      </c>
      <c r="H21" s="8">
        <v>6</v>
      </c>
      <c r="I21" s="8">
        <v>6</v>
      </c>
      <c r="J21" s="8">
        <v>7</v>
      </c>
      <c r="K21" s="8">
        <v>7</v>
      </c>
      <c r="L21" s="8">
        <v>6</v>
      </c>
    </row>
    <row r="22" spans="1:12">
      <c r="A22" s="39">
        <v>19</v>
      </c>
      <c r="B22" s="72" t="s">
        <v>102</v>
      </c>
      <c r="C22" s="38">
        <v>1</v>
      </c>
      <c r="D22" s="55"/>
      <c r="E22" s="17">
        <v>6</v>
      </c>
      <c r="F22" s="8">
        <v>6</v>
      </c>
      <c r="G22" s="8">
        <v>7</v>
      </c>
      <c r="H22" s="8">
        <v>6</v>
      </c>
      <c r="I22" s="8">
        <v>6</v>
      </c>
      <c r="J22" s="8">
        <v>7</v>
      </c>
      <c r="K22" s="8">
        <v>7</v>
      </c>
      <c r="L22" s="8">
        <v>6</v>
      </c>
    </row>
    <row r="23" spans="1:12">
      <c r="A23" s="39">
        <v>20</v>
      </c>
      <c r="B23" s="72" t="s">
        <v>24</v>
      </c>
      <c r="C23" s="38">
        <v>1</v>
      </c>
      <c r="D23" s="55"/>
      <c r="E23" s="17">
        <v>6</v>
      </c>
      <c r="F23" s="8">
        <v>6</v>
      </c>
      <c r="G23" s="8">
        <v>7</v>
      </c>
      <c r="H23" s="8">
        <v>6</v>
      </c>
      <c r="I23" s="8">
        <v>6</v>
      </c>
      <c r="J23" s="8">
        <v>7</v>
      </c>
      <c r="K23" s="8">
        <v>7</v>
      </c>
      <c r="L23" s="8">
        <v>7</v>
      </c>
    </row>
    <row r="24" spans="1:12">
      <c r="A24" s="39">
        <v>21</v>
      </c>
      <c r="B24" s="72" t="s">
        <v>113</v>
      </c>
      <c r="C24" s="39">
        <v>1</v>
      </c>
      <c r="D24" s="57"/>
      <c r="E24" s="17">
        <v>7</v>
      </c>
      <c r="F24" s="8">
        <v>7</v>
      </c>
      <c r="G24" s="8">
        <v>7</v>
      </c>
      <c r="H24" s="8">
        <v>6</v>
      </c>
      <c r="I24" s="8">
        <v>6</v>
      </c>
      <c r="J24" s="8">
        <v>7</v>
      </c>
      <c r="K24" s="8">
        <v>7</v>
      </c>
      <c r="L24" s="8">
        <v>6</v>
      </c>
    </row>
    <row r="25" spans="1:12">
      <c r="A25" s="47">
        <v>22</v>
      </c>
      <c r="B25" s="74" t="s">
        <v>114</v>
      </c>
      <c r="C25" s="47"/>
      <c r="D25" s="49">
        <v>1</v>
      </c>
      <c r="E25" s="51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</row>
    <row r="26" spans="1:12">
      <c r="A26" s="39">
        <v>23</v>
      </c>
      <c r="B26" s="72" t="s">
        <v>70</v>
      </c>
      <c r="C26" s="39">
        <v>1</v>
      </c>
      <c r="D26" s="57"/>
      <c r="E26" s="17">
        <v>7</v>
      </c>
      <c r="F26" s="8">
        <v>7</v>
      </c>
      <c r="G26" s="8">
        <v>7</v>
      </c>
      <c r="H26" s="8">
        <v>6</v>
      </c>
      <c r="I26" s="8">
        <v>6</v>
      </c>
      <c r="J26" s="8">
        <v>7</v>
      </c>
      <c r="K26" s="8">
        <v>7</v>
      </c>
      <c r="L26" s="8">
        <v>6</v>
      </c>
    </row>
    <row r="27" spans="1:12">
      <c r="A27" s="39">
        <v>24</v>
      </c>
      <c r="B27" s="72" t="s">
        <v>71</v>
      </c>
      <c r="C27" s="39">
        <v>1</v>
      </c>
      <c r="D27" s="57"/>
      <c r="E27" s="17">
        <v>7</v>
      </c>
      <c r="F27" s="8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</row>
    <row r="28" spans="1:12">
      <c r="A28" s="39">
        <v>25</v>
      </c>
      <c r="B28" s="72" t="s">
        <v>72</v>
      </c>
      <c r="C28" s="39">
        <v>1</v>
      </c>
      <c r="D28" s="57"/>
      <c r="E28" s="17">
        <v>7</v>
      </c>
      <c r="F28" s="8">
        <v>7</v>
      </c>
      <c r="G28" s="8">
        <v>7</v>
      </c>
      <c r="H28" s="8">
        <v>7</v>
      </c>
      <c r="I28" s="8">
        <v>7</v>
      </c>
      <c r="J28" s="8">
        <v>7</v>
      </c>
      <c r="K28" s="8">
        <v>7</v>
      </c>
      <c r="L28" s="8">
        <v>7</v>
      </c>
    </row>
    <row r="29" spans="1:12">
      <c r="A29" s="39">
        <v>26</v>
      </c>
      <c r="B29" s="74" t="s">
        <v>73</v>
      </c>
      <c r="C29" s="58"/>
      <c r="D29" s="59">
        <v>1</v>
      </c>
      <c r="E29" s="51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</row>
    <row r="30" spans="1:12">
      <c r="A30" s="39">
        <v>27</v>
      </c>
      <c r="B30" s="73" t="s">
        <v>103</v>
      </c>
      <c r="C30" s="39">
        <v>1</v>
      </c>
      <c r="D30" s="57"/>
      <c r="E30" s="17">
        <v>6</v>
      </c>
      <c r="F30" s="8">
        <v>6</v>
      </c>
      <c r="G30" s="8">
        <v>7</v>
      </c>
      <c r="H30" s="8">
        <v>6</v>
      </c>
      <c r="I30" s="8">
        <v>6</v>
      </c>
      <c r="J30" s="8">
        <v>7</v>
      </c>
      <c r="K30" s="8">
        <v>7</v>
      </c>
      <c r="L30" s="8">
        <v>6</v>
      </c>
    </row>
    <row r="31" spans="1:12">
      <c r="A31" s="58">
        <v>28</v>
      </c>
      <c r="B31" s="74" t="s">
        <v>115</v>
      </c>
      <c r="C31" s="47"/>
      <c r="D31" s="49">
        <v>1</v>
      </c>
      <c r="E31" s="51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</row>
    <row r="32" spans="1:12">
      <c r="A32" s="39">
        <v>29</v>
      </c>
      <c r="B32" s="72" t="s">
        <v>104</v>
      </c>
      <c r="C32" s="39">
        <v>1</v>
      </c>
      <c r="D32" s="57"/>
      <c r="E32" s="17">
        <v>7</v>
      </c>
      <c r="F32" s="17">
        <v>7</v>
      </c>
      <c r="G32" s="17">
        <v>7</v>
      </c>
      <c r="H32" s="17">
        <v>7</v>
      </c>
      <c r="I32" s="17">
        <v>7</v>
      </c>
      <c r="J32" s="17">
        <v>7</v>
      </c>
      <c r="K32" s="17">
        <v>7</v>
      </c>
      <c r="L32" s="17">
        <v>7</v>
      </c>
    </row>
    <row r="33" spans="1:12">
      <c r="A33" s="39">
        <v>30</v>
      </c>
      <c r="B33" s="72" t="s">
        <v>74</v>
      </c>
      <c r="C33" s="39">
        <v>1</v>
      </c>
      <c r="D33" s="57"/>
      <c r="E33" s="17">
        <v>6</v>
      </c>
      <c r="F33" s="8">
        <v>6</v>
      </c>
      <c r="G33" s="8">
        <v>7</v>
      </c>
      <c r="H33" s="8">
        <v>6</v>
      </c>
      <c r="I33" s="8">
        <v>6</v>
      </c>
      <c r="J33" s="8">
        <v>7</v>
      </c>
      <c r="K33" s="8">
        <v>7</v>
      </c>
      <c r="L33" s="8">
        <v>6</v>
      </c>
    </row>
    <row r="34" spans="1:12">
      <c r="A34" s="58">
        <v>31</v>
      </c>
      <c r="B34" s="74" t="s">
        <v>33</v>
      </c>
      <c r="C34" s="58"/>
      <c r="D34" s="59">
        <v>1</v>
      </c>
      <c r="E34" s="51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</row>
    <row r="35" spans="1:12">
      <c r="A35" s="47">
        <v>32</v>
      </c>
      <c r="B35" s="74" t="s">
        <v>116</v>
      </c>
      <c r="C35" s="47"/>
      <c r="D35" s="49">
        <v>1</v>
      </c>
      <c r="E35" s="51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</row>
    <row r="36" spans="1:12">
      <c r="A36" s="39">
        <v>33</v>
      </c>
      <c r="B36" s="72" t="s">
        <v>105</v>
      </c>
      <c r="C36" s="39">
        <v>1</v>
      </c>
      <c r="D36" s="57"/>
      <c r="E36" s="17">
        <v>6</v>
      </c>
      <c r="F36" s="8">
        <v>6</v>
      </c>
      <c r="G36" s="8">
        <v>7</v>
      </c>
      <c r="H36" s="8">
        <v>6</v>
      </c>
      <c r="I36" s="8">
        <v>6</v>
      </c>
      <c r="J36" s="8">
        <v>7</v>
      </c>
      <c r="K36" s="8">
        <v>7</v>
      </c>
      <c r="L36" s="8">
        <v>6</v>
      </c>
    </row>
    <row r="37" spans="1:12">
      <c r="A37" s="58">
        <v>34</v>
      </c>
      <c r="B37" s="74" t="s">
        <v>34</v>
      </c>
      <c r="C37" s="58"/>
      <c r="D37" s="59">
        <v>1</v>
      </c>
      <c r="E37" s="51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</row>
    <row r="38" spans="1:12">
      <c r="A38" s="39">
        <v>35</v>
      </c>
      <c r="B38" s="72" t="s">
        <v>117</v>
      </c>
      <c r="C38" s="39">
        <v>1</v>
      </c>
      <c r="D38" s="57"/>
      <c r="E38" s="17">
        <v>7</v>
      </c>
      <c r="F38" s="17">
        <v>7</v>
      </c>
      <c r="G38" s="17">
        <v>7</v>
      </c>
      <c r="H38" s="17">
        <v>7</v>
      </c>
      <c r="I38" s="17">
        <v>7</v>
      </c>
      <c r="J38" s="8">
        <v>7</v>
      </c>
      <c r="K38" s="8">
        <v>7</v>
      </c>
      <c r="L38" s="8">
        <v>7</v>
      </c>
    </row>
    <row r="39" spans="1:12">
      <c r="A39" s="58">
        <v>36</v>
      </c>
      <c r="B39" s="75" t="s">
        <v>75</v>
      </c>
      <c r="C39" s="58"/>
      <c r="D39" s="59">
        <v>1</v>
      </c>
      <c r="E39" s="51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</row>
    <row r="40" spans="1:12">
      <c r="A40" s="39">
        <v>37</v>
      </c>
      <c r="B40" s="72" t="s">
        <v>118</v>
      </c>
      <c r="C40" s="39">
        <v>1</v>
      </c>
      <c r="D40" s="57"/>
      <c r="E40" s="17">
        <v>7</v>
      </c>
      <c r="F40" s="8">
        <v>6</v>
      </c>
      <c r="G40" s="8">
        <v>6</v>
      </c>
      <c r="H40" s="8">
        <v>6</v>
      </c>
      <c r="I40" s="8">
        <v>6</v>
      </c>
      <c r="J40" s="8">
        <v>7</v>
      </c>
      <c r="K40" s="8">
        <v>7</v>
      </c>
      <c r="L40" s="8">
        <v>7</v>
      </c>
    </row>
    <row r="41" spans="1:12">
      <c r="A41" s="39">
        <v>38</v>
      </c>
      <c r="B41" s="72" t="s">
        <v>76</v>
      </c>
      <c r="C41" s="39">
        <v>1</v>
      </c>
      <c r="D41" s="57"/>
      <c r="E41" s="17">
        <v>7</v>
      </c>
      <c r="F41" s="8">
        <v>7</v>
      </c>
      <c r="G41" s="8">
        <v>7</v>
      </c>
      <c r="H41" s="8">
        <v>6</v>
      </c>
      <c r="I41" s="8">
        <v>6</v>
      </c>
      <c r="J41" s="8">
        <v>7</v>
      </c>
      <c r="K41" s="8">
        <v>7</v>
      </c>
      <c r="L41" s="8">
        <v>7</v>
      </c>
    </row>
    <row r="42" spans="1:12">
      <c r="A42" s="39">
        <v>39</v>
      </c>
      <c r="B42" s="72" t="s">
        <v>38</v>
      </c>
      <c r="C42" s="39">
        <v>1</v>
      </c>
      <c r="D42" s="57"/>
      <c r="E42" s="17">
        <v>7</v>
      </c>
      <c r="F42" s="17">
        <v>7</v>
      </c>
      <c r="G42" s="17">
        <v>7</v>
      </c>
      <c r="H42" s="17">
        <v>6</v>
      </c>
      <c r="I42" s="17">
        <v>7</v>
      </c>
      <c r="J42" s="8">
        <v>7</v>
      </c>
      <c r="K42" s="8">
        <v>7</v>
      </c>
      <c r="L42" s="8">
        <v>6</v>
      </c>
    </row>
    <row r="43" spans="1:12">
      <c r="A43" s="39">
        <v>40</v>
      </c>
      <c r="B43" s="72" t="s">
        <v>77</v>
      </c>
      <c r="C43" s="39">
        <v>1</v>
      </c>
      <c r="D43" s="57"/>
      <c r="E43" s="17">
        <v>7</v>
      </c>
      <c r="F43" s="17">
        <v>7</v>
      </c>
      <c r="G43" s="17">
        <v>7</v>
      </c>
      <c r="H43" s="17">
        <v>7</v>
      </c>
      <c r="I43" s="17">
        <v>6</v>
      </c>
      <c r="J43" s="8">
        <v>7</v>
      </c>
      <c r="K43" s="8">
        <v>7</v>
      </c>
      <c r="L43" s="8">
        <v>7</v>
      </c>
    </row>
    <row r="44" spans="1:12">
      <c r="A44" s="39">
        <v>41</v>
      </c>
      <c r="B44" s="72" t="s">
        <v>39</v>
      </c>
      <c r="C44" s="39">
        <v>1</v>
      </c>
      <c r="D44" s="57"/>
      <c r="E44" s="17">
        <v>7</v>
      </c>
      <c r="F44" s="17">
        <v>7</v>
      </c>
      <c r="G44" s="17">
        <v>7</v>
      </c>
      <c r="H44" s="17">
        <v>7</v>
      </c>
      <c r="I44" s="17">
        <v>7</v>
      </c>
      <c r="J44" s="8">
        <v>7</v>
      </c>
      <c r="K44" s="8">
        <v>7</v>
      </c>
      <c r="L44" s="8">
        <v>6</v>
      </c>
    </row>
    <row r="45" spans="1:12">
      <c r="A45" s="39">
        <v>42</v>
      </c>
      <c r="B45" s="72" t="s">
        <v>40</v>
      </c>
      <c r="C45" s="39">
        <v>1</v>
      </c>
      <c r="D45" s="57"/>
      <c r="E45" s="17">
        <v>6</v>
      </c>
      <c r="F45" s="8">
        <v>6</v>
      </c>
      <c r="G45" s="8">
        <v>7</v>
      </c>
      <c r="H45" s="8">
        <v>6</v>
      </c>
      <c r="I45" s="8">
        <v>6</v>
      </c>
      <c r="J45" s="8">
        <v>7</v>
      </c>
      <c r="K45" s="8">
        <v>7</v>
      </c>
      <c r="L45" s="8">
        <v>6</v>
      </c>
    </row>
    <row r="46" spans="1:12">
      <c r="A46" s="58">
        <v>43</v>
      </c>
      <c r="B46" s="74" t="s">
        <v>119</v>
      </c>
      <c r="C46" s="58"/>
      <c r="D46" s="59">
        <v>1</v>
      </c>
      <c r="E46" s="51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</row>
    <row r="47" spans="1:12">
      <c r="A47" s="39">
        <v>44</v>
      </c>
      <c r="B47" s="72" t="s">
        <v>42</v>
      </c>
      <c r="C47" s="38">
        <v>1</v>
      </c>
      <c r="D47" s="55"/>
      <c r="E47" s="17">
        <v>6</v>
      </c>
      <c r="F47" s="8">
        <v>6</v>
      </c>
      <c r="G47" s="8">
        <v>7</v>
      </c>
      <c r="H47" s="8">
        <v>6</v>
      </c>
      <c r="I47" s="8">
        <v>6</v>
      </c>
      <c r="J47" s="8">
        <v>7</v>
      </c>
      <c r="K47" s="8">
        <v>7</v>
      </c>
      <c r="L47" s="8">
        <v>7</v>
      </c>
    </row>
    <row r="48" spans="1:12">
      <c r="A48" s="39">
        <v>45</v>
      </c>
      <c r="B48" s="73" t="s">
        <v>43</v>
      </c>
      <c r="C48" s="39">
        <v>1</v>
      </c>
      <c r="D48" s="57"/>
      <c r="E48" s="17">
        <v>7</v>
      </c>
      <c r="F48" s="17">
        <v>7</v>
      </c>
      <c r="G48" s="17">
        <v>7</v>
      </c>
      <c r="H48" s="17">
        <v>6</v>
      </c>
      <c r="I48" s="17">
        <v>7</v>
      </c>
      <c r="J48" s="17">
        <v>7</v>
      </c>
      <c r="K48" s="17">
        <v>7</v>
      </c>
      <c r="L48" s="17">
        <v>7</v>
      </c>
    </row>
    <row r="49" spans="1:12">
      <c r="A49" s="58">
        <v>46</v>
      </c>
      <c r="B49" s="74" t="s">
        <v>120</v>
      </c>
      <c r="C49" s="58"/>
      <c r="D49" s="59">
        <v>1</v>
      </c>
      <c r="E49" s="51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</row>
    <row r="50" spans="1:12">
      <c r="A50" s="38">
        <v>47</v>
      </c>
      <c r="B50" s="72" t="s">
        <v>44</v>
      </c>
      <c r="C50" s="38">
        <v>1</v>
      </c>
      <c r="D50" s="55"/>
      <c r="E50" s="17">
        <v>7</v>
      </c>
      <c r="F50" s="8">
        <v>7</v>
      </c>
      <c r="G50" s="8">
        <v>7</v>
      </c>
      <c r="H50" s="8">
        <v>6</v>
      </c>
      <c r="I50" s="8">
        <v>6</v>
      </c>
      <c r="J50" s="8">
        <v>7</v>
      </c>
      <c r="K50" s="8">
        <v>7</v>
      </c>
      <c r="L50" s="8">
        <v>7</v>
      </c>
    </row>
    <row r="51" spans="1:12">
      <c r="A51" s="39">
        <v>48</v>
      </c>
      <c r="B51" s="72" t="s">
        <v>106</v>
      </c>
      <c r="C51" s="39">
        <v>1</v>
      </c>
      <c r="D51" s="57"/>
      <c r="E51" s="17">
        <v>7</v>
      </c>
      <c r="F51" s="8">
        <v>7</v>
      </c>
      <c r="G51" s="8">
        <v>7</v>
      </c>
      <c r="H51" s="8">
        <v>6</v>
      </c>
      <c r="I51" s="8">
        <v>7</v>
      </c>
      <c r="J51" s="8">
        <v>6</v>
      </c>
      <c r="K51" s="8">
        <v>6</v>
      </c>
      <c r="L51" s="8">
        <v>7</v>
      </c>
    </row>
    <row r="52" spans="1:12">
      <c r="A52" s="58">
        <v>49</v>
      </c>
      <c r="B52" s="74" t="s">
        <v>107</v>
      </c>
      <c r="C52" s="58"/>
      <c r="D52" s="59">
        <v>1</v>
      </c>
      <c r="E52" s="51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</row>
    <row r="53" spans="1:12">
      <c r="A53" s="38">
        <v>50</v>
      </c>
      <c r="B53" s="71" t="s">
        <v>108</v>
      </c>
      <c r="C53" s="38">
        <v>1</v>
      </c>
      <c r="D53" s="55"/>
      <c r="E53" s="17">
        <v>7</v>
      </c>
      <c r="F53" s="8">
        <v>7</v>
      </c>
      <c r="G53" s="8">
        <v>7</v>
      </c>
      <c r="H53" s="8">
        <v>6</v>
      </c>
      <c r="I53" s="8">
        <v>6</v>
      </c>
      <c r="J53" s="8">
        <v>7</v>
      </c>
      <c r="K53" s="8">
        <v>7</v>
      </c>
      <c r="L53" s="8">
        <v>7</v>
      </c>
    </row>
    <row r="54" spans="1:12">
      <c r="A54" s="29"/>
      <c r="B54" s="30"/>
      <c r="C54" s="4">
        <f>SUM(C4:C53)</f>
        <v>35</v>
      </c>
      <c r="D54" s="4">
        <f>SUM(D4:D53)</f>
        <v>15</v>
      </c>
    </row>
    <row r="55" spans="1:12">
      <c r="A55" s="29"/>
      <c r="B55" s="30"/>
      <c r="C55" s="45">
        <f>+C54/50</f>
        <v>0.7</v>
      </c>
      <c r="D55" s="45">
        <f>+D54/50</f>
        <v>0.3</v>
      </c>
    </row>
    <row r="56" spans="1:12">
      <c r="A56" s="29"/>
      <c r="B56" s="30"/>
      <c r="C56" s="29"/>
    </row>
    <row r="57" spans="1:12">
      <c r="A57" s="29"/>
      <c r="B57" s="30"/>
      <c r="C57" s="29"/>
      <c r="D57" s="199" t="s">
        <v>91</v>
      </c>
      <c r="E57" s="200"/>
      <c r="F57" s="200"/>
      <c r="G57" s="200"/>
      <c r="H57" s="200"/>
      <c r="I57" s="200"/>
      <c r="J57" s="200"/>
      <c r="K57" s="200"/>
      <c r="L57" s="201"/>
    </row>
    <row r="58" spans="1:12">
      <c r="A58" s="29"/>
      <c r="B58" s="30"/>
      <c r="C58" s="29"/>
      <c r="D58" s="68">
        <v>7</v>
      </c>
      <c r="E58" s="64">
        <v>20</v>
      </c>
      <c r="F58" s="64">
        <v>19</v>
      </c>
      <c r="G58" s="64">
        <v>33</v>
      </c>
      <c r="H58" s="64">
        <v>8</v>
      </c>
      <c r="I58" s="64">
        <v>12</v>
      </c>
      <c r="J58" s="64">
        <v>33</v>
      </c>
      <c r="K58" s="64">
        <v>33</v>
      </c>
      <c r="L58" s="65">
        <v>19</v>
      </c>
    </row>
    <row r="59" spans="1:12">
      <c r="A59" s="29"/>
      <c r="B59" s="30"/>
      <c r="C59" s="29"/>
      <c r="D59" s="69">
        <v>6</v>
      </c>
      <c r="E59" s="4">
        <v>15</v>
      </c>
      <c r="F59" s="4">
        <v>16</v>
      </c>
      <c r="G59" s="4">
        <v>2</v>
      </c>
      <c r="H59" s="4">
        <v>27</v>
      </c>
      <c r="I59" s="4">
        <v>23</v>
      </c>
      <c r="J59" s="4">
        <v>2</v>
      </c>
      <c r="K59" s="4">
        <v>2</v>
      </c>
      <c r="L59" s="66">
        <v>16</v>
      </c>
    </row>
    <row r="60" spans="1:12">
      <c r="A60" s="29"/>
      <c r="B60" s="30"/>
      <c r="C60" s="29"/>
      <c r="D60" s="69">
        <v>5</v>
      </c>
      <c r="L60" s="66"/>
    </row>
    <row r="61" spans="1:12">
      <c r="A61" s="29"/>
      <c r="B61" s="30"/>
      <c r="C61" s="29"/>
      <c r="D61" s="69">
        <v>4</v>
      </c>
      <c r="L61" s="66"/>
    </row>
    <row r="62" spans="1:12">
      <c r="C62" s="1"/>
      <c r="D62" s="69">
        <v>3</v>
      </c>
      <c r="L62" s="66"/>
    </row>
    <row r="63" spans="1:12">
      <c r="C63" s="1"/>
      <c r="D63" s="69">
        <v>2</v>
      </c>
      <c r="L63" s="66"/>
    </row>
    <row r="64" spans="1:12">
      <c r="C64" s="1"/>
      <c r="D64" s="70">
        <v>1</v>
      </c>
      <c r="E64" s="37"/>
      <c r="F64" s="37"/>
      <c r="G64" s="37"/>
      <c r="H64" s="37"/>
      <c r="I64" s="37"/>
      <c r="J64" s="37"/>
      <c r="K64" s="37"/>
      <c r="L64" s="67"/>
    </row>
    <row r="65" spans="2:13">
      <c r="C65" s="1"/>
      <c r="D65" s="1"/>
      <c r="E65" s="4">
        <f t="shared" ref="E65:L65" si="0">SUM(E58:E64)</f>
        <v>35</v>
      </c>
      <c r="F65" s="4">
        <f t="shared" si="0"/>
        <v>35</v>
      </c>
      <c r="G65" s="4">
        <f t="shared" si="0"/>
        <v>35</v>
      </c>
      <c r="H65" s="4">
        <f t="shared" si="0"/>
        <v>35</v>
      </c>
      <c r="I65" s="4">
        <f t="shared" si="0"/>
        <v>35</v>
      </c>
      <c r="J65" s="4">
        <f t="shared" si="0"/>
        <v>35</v>
      </c>
      <c r="K65" s="4">
        <f t="shared" si="0"/>
        <v>35</v>
      </c>
      <c r="L65" s="4">
        <f t="shared" si="0"/>
        <v>35</v>
      </c>
    </row>
    <row r="66" spans="2:13">
      <c r="C66" s="1"/>
      <c r="D66" s="1"/>
    </row>
    <row r="67" spans="2:13">
      <c r="D67" s="28" t="s">
        <v>86</v>
      </c>
      <c r="E67" s="4">
        <f>$C54*7</f>
        <v>245</v>
      </c>
      <c r="F67" s="4">
        <f t="shared" ref="F67:L67" si="1">$C54*7</f>
        <v>245</v>
      </c>
      <c r="G67" s="4">
        <f t="shared" si="1"/>
        <v>245</v>
      </c>
      <c r="H67" s="4">
        <f t="shared" si="1"/>
        <v>245</v>
      </c>
      <c r="I67" s="4">
        <f t="shared" si="1"/>
        <v>245</v>
      </c>
      <c r="J67" s="4">
        <f t="shared" si="1"/>
        <v>245</v>
      </c>
      <c r="K67" s="4">
        <f t="shared" si="1"/>
        <v>245</v>
      </c>
      <c r="L67" s="4">
        <f t="shared" si="1"/>
        <v>245</v>
      </c>
      <c r="M67" s="1">
        <f>SUM(E67:L67)</f>
        <v>1960</v>
      </c>
    </row>
    <row r="68" spans="2:13" ht="17" thickBot="1">
      <c r="D68" s="28" t="s">
        <v>87</v>
      </c>
      <c r="E68" s="4">
        <f t="shared" ref="E68:L68" si="2">SUM(E4:E53)</f>
        <v>230</v>
      </c>
      <c r="F68" s="4">
        <f t="shared" si="2"/>
        <v>229</v>
      </c>
      <c r="G68" s="4">
        <f t="shared" si="2"/>
        <v>243</v>
      </c>
      <c r="H68" s="4">
        <f t="shared" si="2"/>
        <v>218</v>
      </c>
      <c r="I68" s="4">
        <f t="shared" si="2"/>
        <v>222</v>
      </c>
      <c r="J68" s="4">
        <f t="shared" si="2"/>
        <v>243</v>
      </c>
      <c r="K68" s="4">
        <f t="shared" si="2"/>
        <v>243</v>
      </c>
      <c r="L68" s="4">
        <f t="shared" si="2"/>
        <v>229</v>
      </c>
      <c r="M68" s="1">
        <f>SUM(E68:L68)</f>
        <v>1857</v>
      </c>
    </row>
    <row r="69" spans="2:13" ht="22.5" customHeight="1" thickBot="1">
      <c r="E69" s="45">
        <f t="shared" ref="E69:M69" si="3">+E68/E67</f>
        <v>0.93877551020408168</v>
      </c>
      <c r="F69" s="45">
        <f t="shared" si="3"/>
        <v>0.9346938775510204</v>
      </c>
      <c r="G69" s="45">
        <f t="shared" si="3"/>
        <v>0.99183673469387756</v>
      </c>
      <c r="H69" s="45">
        <f t="shared" si="3"/>
        <v>0.88979591836734695</v>
      </c>
      <c r="I69" s="45">
        <f t="shared" si="3"/>
        <v>0.90612244897959182</v>
      </c>
      <c r="J69" s="45">
        <f t="shared" si="3"/>
        <v>0.99183673469387756</v>
      </c>
      <c r="K69" s="45">
        <f t="shared" si="3"/>
        <v>0.99183673469387756</v>
      </c>
      <c r="L69" s="45">
        <f t="shared" si="3"/>
        <v>0.9346938775510204</v>
      </c>
      <c r="M69" s="46">
        <f t="shared" si="3"/>
        <v>0.94744897959183672</v>
      </c>
    </row>
    <row r="71" spans="2:13">
      <c r="B71" s="62" t="s">
        <v>88</v>
      </c>
    </row>
    <row r="72" spans="2:13">
      <c r="B72" s="62" t="s">
        <v>122</v>
      </c>
    </row>
    <row r="73" spans="2:13" ht="17" thickBot="1">
      <c r="B73" s="63" t="s">
        <v>123</v>
      </c>
    </row>
    <row r="74" spans="2:13" ht="17.25" customHeight="1" thickBot="1">
      <c r="B74" s="63" t="s">
        <v>109</v>
      </c>
      <c r="L74" s="208" t="s">
        <v>92</v>
      </c>
      <c r="M74" s="209"/>
    </row>
  </sheetData>
  <mergeCells count="2">
    <mergeCell ref="D57:L57"/>
    <mergeCell ref="L74:M74"/>
  </mergeCells>
  <phoneticPr fontId="2" type="noConversion"/>
  <pageMargins left="1.1499999999999999" right="0.18" top="0.54" bottom="0.37" header="0.5" footer="0.5"/>
  <pageSetup paperSize="9" scale="85" orientation="portrait" r:id="rId1"/>
  <headerFooter alignWithMargins="0"/>
  <rowBreaks count="1" manualBreakCount="1">
    <brk id="5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9"/>
  <sheetViews>
    <sheetView workbookViewId="0">
      <selection activeCell="B3" sqref="B3"/>
    </sheetView>
  </sheetViews>
  <sheetFormatPr baseColWidth="10" defaultColWidth="9" defaultRowHeight="16"/>
  <cols>
    <col min="1" max="1" width="4.83203125" style="4" customWidth="1"/>
    <col min="2" max="2" width="24.5" style="1" customWidth="1"/>
    <col min="3" max="4" width="5.33203125" style="1" customWidth="1"/>
    <col min="5" max="5" width="4.33203125" style="1" customWidth="1"/>
    <col min="6" max="13" width="5.5" style="4" customWidth="1"/>
    <col min="14" max="14" width="5.5" style="1" customWidth="1"/>
    <col min="15" max="16384" width="9" style="1"/>
  </cols>
  <sheetData>
    <row r="1" spans="1:13" ht="18">
      <c r="A1" s="27" t="s">
        <v>64</v>
      </c>
    </row>
    <row r="2" spans="1:13">
      <c r="A2" s="5"/>
    </row>
    <row r="3" spans="1:13" ht="107.25" customHeight="1">
      <c r="A3" s="8"/>
      <c r="B3" s="9"/>
      <c r="C3" s="10"/>
      <c r="D3" s="19"/>
      <c r="E3" s="32"/>
      <c r="F3" s="16" t="s">
        <v>54</v>
      </c>
      <c r="G3" s="10" t="s">
        <v>50</v>
      </c>
      <c r="H3" s="10" t="s">
        <v>51</v>
      </c>
      <c r="I3" s="10" t="s">
        <v>52</v>
      </c>
      <c r="J3" s="10" t="s">
        <v>53</v>
      </c>
      <c r="K3" s="10" t="s">
        <v>56</v>
      </c>
      <c r="L3" s="10" t="s">
        <v>57</v>
      </c>
      <c r="M3" s="10" t="s">
        <v>55</v>
      </c>
    </row>
    <row r="4" spans="1:13">
      <c r="A4" s="47">
        <v>1</v>
      </c>
      <c r="B4" s="48" t="s">
        <v>0</v>
      </c>
      <c r="C4" s="47"/>
      <c r="D4" s="49">
        <v>1</v>
      </c>
      <c r="E4" s="50"/>
      <c r="F4" s="51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</row>
    <row r="5" spans="1:13">
      <c r="A5" s="39">
        <v>2</v>
      </c>
      <c r="B5" s="40" t="s">
        <v>1</v>
      </c>
      <c r="C5" s="39">
        <v>1</v>
      </c>
      <c r="D5" s="41"/>
      <c r="E5" s="34"/>
      <c r="F5" s="17">
        <v>7</v>
      </c>
      <c r="G5" s="8">
        <v>7</v>
      </c>
      <c r="H5" s="8">
        <v>7</v>
      </c>
      <c r="I5" s="8">
        <v>6</v>
      </c>
      <c r="J5" s="8">
        <v>7</v>
      </c>
      <c r="K5" s="8">
        <v>7</v>
      </c>
      <c r="L5" s="8">
        <v>7</v>
      </c>
      <c r="M5" s="8">
        <v>7</v>
      </c>
    </row>
    <row r="6" spans="1:13">
      <c r="A6" s="39">
        <v>3</v>
      </c>
      <c r="B6" s="40" t="s">
        <v>2</v>
      </c>
      <c r="C6" s="38">
        <v>1</v>
      </c>
      <c r="D6" s="41"/>
      <c r="E6" s="34"/>
      <c r="F6" s="17">
        <v>7</v>
      </c>
      <c r="G6" s="8">
        <v>7</v>
      </c>
      <c r="H6" s="8">
        <v>7</v>
      </c>
      <c r="I6" s="8">
        <v>6</v>
      </c>
      <c r="J6" s="8">
        <v>7</v>
      </c>
      <c r="K6" s="8">
        <v>7</v>
      </c>
      <c r="L6" s="8">
        <v>7</v>
      </c>
      <c r="M6" s="8">
        <v>7</v>
      </c>
    </row>
    <row r="7" spans="1:13">
      <c r="A7" s="47">
        <v>4</v>
      </c>
      <c r="B7" s="48" t="s">
        <v>3</v>
      </c>
      <c r="C7" s="47"/>
      <c r="D7" s="49">
        <v>1</v>
      </c>
      <c r="E7" s="50"/>
      <c r="F7" s="51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</row>
    <row r="8" spans="1:13">
      <c r="A8" s="39">
        <v>5</v>
      </c>
      <c r="B8" s="40" t="s">
        <v>4</v>
      </c>
      <c r="C8" s="43">
        <v>1</v>
      </c>
      <c r="D8" s="42"/>
      <c r="E8" s="35"/>
      <c r="F8" s="17">
        <v>7</v>
      </c>
      <c r="G8" s="8">
        <v>7</v>
      </c>
      <c r="H8" s="8">
        <v>7</v>
      </c>
      <c r="I8" s="8">
        <v>6</v>
      </c>
      <c r="J8" s="8">
        <v>7</v>
      </c>
      <c r="K8" s="8">
        <v>7</v>
      </c>
      <c r="L8" s="8">
        <v>7</v>
      </c>
      <c r="M8" s="8">
        <v>7</v>
      </c>
    </row>
    <row r="9" spans="1:13">
      <c r="A9" s="47">
        <v>6</v>
      </c>
      <c r="B9" s="48" t="s">
        <v>5</v>
      </c>
      <c r="C9" s="47"/>
      <c r="D9" s="49">
        <v>1</v>
      </c>
      <c r="E9" s="50"/>
      <c r="F9" s="51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</row>
    <row r="10" spans="1:13">
      <c r="A10" s="39">
        <v>7</v>
      </c>
      <c r="B10" s="40" t="s">
        <v>6</v>
      </c>
      <c r="C10" s="43">
        <v>1</v>
      </c>
      <c r="D10" s="42"/>
      <c r="E10" s="35"/>
      <c r="F10" s="17">
        <v>7</v>
      </c>
      <c r="G10" s="8">
        <v>7</v>
      </c>
      <c r="H10" s="8">
        <v>7</v>
      </c>
      <c r="I10" s="8">
        <v>7</v>
      </c>
      <c r="J10" s="8">
        <v>6</v>
      </c>
      <c r="K10" s="8">
        <v>7</v>
      </c>
      <c r="L10" s="8">
        <v>7</v>
      </c>
      <c r="M10" s="8">
        <v>7</v>
      </c>
    </row>
    <row r="11" spans="1:13">
      <c r="A11" s="39">
        <v>8</v>
      </c>
      <c r="B11" s="40" t="s">
        <v>7</v>
      </c>
      <c r="C11" s="43">
        <v>1</v>
      </c>
      <c r="D11" s="42"/>
      <c r="E11" s="35"/>
      <c r="F11" s="17">
        <v>7</v>
      </c>
      <c r="G11" s="8">
        <v>7</v>
      </c>
      <c r="H11" s="8">
        <v>7</v>
      </c>
      <c r="I11" s="8">
        <v>7</v>
      </c>
      <c r="J11" s="8">
        <v>7</v>
      </c>
      <c r="K11" s="8">
        <v>7</v>
      </c>
      <c r="L11" s="8">
        <v>7</v>
      </c>
      <c r="M11" s="8">
        <v>7</v>
      </c>
    </row>
    <row r="12" spans="1:13">
      <c r="A12" s="39">
        <v>9</v>
      </c>
      <c r="B12" s="40" t="s">
        <v>8</v>
      </c>
      <c r="C12" s="43">
        <v>1</v>
      </c>
      <c r="D12" s="42"/>
      <c r="E12" s="35"/>
      <c r="F12" s="17">
        <v>7</v>
      </c>
      <c r="G12" s="8">
        <v>7</v>
      </c>
      <c r="H12" s="8">
        <v>7</v>
      </c>
      <c r="I12" s="8">
        <v>7</v>
      </c>
      <c r="J12" s="8">
        <v>7</v>
      </c>
      <c r="K12" s="8">
        <v>7</v>
      </c>
      <c r="L12" s="8">
        <v>7</v>
      </c>
      <c r="M12" s="8">
        <v>7</v>
      </c>
    </row>
    <row r="13" spans="1:13">
      <c r="A13" s="47">
        <v>10</v>
      </c>
      <c r="B13" s="48" t="s">
        <v>9</v>
      </c>
      <c r="C13" s="47"/>
      <c r="D13" s="49">
        <v>1</v>
      </c>
      <c r="E13" s="50"/>
      <c r="F13" s="51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</row>
    <row r="14" spans="1:13">
      <c r="A14" s="47">
        <v>11</v>
      </c>
      <c r="B14" s="48" t="s">
        <v>10</v>
      </c>
      <c r="C14" s="47"/>
      <c r="D14" s="49">
        <v>1</v>
      </c>
      <c r="E14" s="50"/>
      <c r="F14" s="51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</row>
    <row r="15" spans="1:13">
      <c r="A15" s="39">
        <v>12</v>
      </c>
      <c r="B15" s="40" t="s">
        <v>11</v>
      </c>
      <c r="C15" s="43">
        <v>1</v>
      </c>
      <c r="D15" s="42"/>
      <c r="E15" s="35"/>
      <c r="F15" s="17">
        <v>6</v>
      </c>
      <c r="G15" s="8">
        <v>6</v>
      </c>
      <c r="H15" s="8">
        <v>6</v>
      </c>
      <c r="I15" s="8">
        <v>6</v>
      </c>
      <c r="J15" s="8">
        <v>6</v>
      </c>
      <c r="K15" s="8">
        <v>6</v>
      </c>
      <c r="L15" s="8">
        <v>6</v>
      </c>
      <c r="M15" s="8">
        <v>6</v>
      </c>
    </row>
    <row r="16" spans="1:13">
      <c r="A16" s="47">
        <v>13</v>
      </c>
      <c r="B16" s="48" t="s">
        <v>12</v>
      </c>
      <c r="C16" s="47"/>
      <c r="D16" s="49">
        <v>1</v>
      </c>
      <c r="E16" s="50"/>
      <c r="F16" s="51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</row>
    <row r="17" spans="1:13">
      <c r="A17" s="47">
        <v>14</v>
      </c>
      <c r="B17" s="48" t="s">
        <v>13</v>
      </c>
      <c r="C17" s="47"/>
      <c r="D17" s="49">
        <v>1</v>
      </c>
      <c r="E17" s="50"/>
      <c r="F17" s="51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</row>
    <row r="18" spans="1:13">
      <c r="A18" s="39">
        <v>15</v>
      </c>
      <c r="B18" s="40" t="s">
        <v>14</v>
      </c>
      <c r="C18" s="43">
        <v>1</v>
      </c>
      <c r="D18" s="42"/>
      <c r="E18" s="35"/>
      <c r="F18" s="17">
        <v>6</v>
      </c>
      <c r="G18" s="8">
        <v>7</v>
      </c>
      <c r="H18" s="8">
        <v>7</v>
      </c>
      <c r="I18" s="8">
        <v>6</v>
      </c>
      <c r="J18" s="8">
        <v>6</v>
      </c>
      <c r="K18" s="8">
        <v>7</v>
      </c>
      <c r="L18" s="8">
        <v>7</v>
      </c>
      <c r="M18" s="8">
        <v>7</v>
      </c>
    </row>
    <row r="19" spans="1:13">
      <c r="A19" s="39">
        <v>16</v>
      </c>
      <c r="B19" s="40" t="s">
        <v>15</v>
      </c>
      <c r="C19" s="43">
        <v>1</v>
      </c>
      <c r="D19" s="42"/>
      <c r="E19" s="35"/>
      <c r="F19" s="17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  <c r="M19" s="8">
        <v>7</v>
      </c>
    </row>
    <row r="20" spans="1:13">
      <c r="A20" s="39">
        <v>17</v>
      </c>
      <c r="B20" s="40" t="s">
        <v>16</v>
      </c>
      <c r="C20" s="43">
        <v>1</v>
      </c>
      <c r="D20" s="42"/>
      <c r="E20" s="35"/>
      <c r="F20" s="17">
        <v>7</v>
      </c>
      <c r="G20" s="8">
        <v>7</v>
      </c>
      <c r="H20" s="8">
        <v>7</v>
      </c>
      <c r="I20" s="8">
        <v>7</v>
      </c>
      <c r="J20" s="8">
        <v>6</v>
      </c>
      <c r="K20" s="8">
        <v>7</v>
      </c>
      <c r="L20" s="8">
        <v>7</v>
      </c>
      <c r="M20" s="8">
        <v>7</v>
      </c>
    </row>
    <row r="21" spans="1:13">
      <c r="A21" s="39">
        <v>18</v>
      </c>
      <c r="B21" s="40" t="s">
        <v>17</v>
      </c>
      <c r="C21" s="43">
        <v>1</v>
      </c>
      <c r="D21" s="42"/>
      <c r="E21" s="35"/>
      <c r="F21" s="17">
        <v>7</v>
      </c>
      <c r="G21" s="8">
        <v>7</v>
      </c>
      <c r="H21" s="8">
        <v>7</v>
      </c>
      <c r="I21" s="8">
        <v>6</v>
      </c>
      <c r="J21" s="8">
        <v>6</v>
      </c>
      <c r="K21" s="8">
        <v>7</v>
      </c>
      <c r="L21" s="8">
        <v>7</v>
      </c>
      <c r="M21" s="8">
        <v>7</v>
      </c>
    </row>
    <row r="22" spans="1:13">
      <c r="A22" s="39">
        <v>19</v>
      </c>
      <c r="B22" s="40" t="s">
        <v>18</v>
      </c>
      <c r="C22" s="43">
        <v>1</v>
      </c>
      <c r="D22" s="42"/>
      <c r="E22" s="35"/>
      <c r="F22" s="17">
        <v>7</v>
      </c>
      <c r="G22" s="8">
        <v>7</v>
      </c>
      <c r="H22" s="8">
        <v>7</v>
      </c>
      <c r="I22" s="8">
        <v>7</v>
      </c>
      <c r="J22" s="8">
        <v>6</v>
      </c>
      <c r="K22" s="8">
        <v>7</v>
      </c>
      <c r="L22" s="8">
        <v>7</v>
      </c>
      <c r="M22" s="8">
        <v>7</v>
      </c>
    </row>
    <row r="23" spans="1:13">
      <c r="A23" s="39">
        <v>20</v>
      </c>
      <c r="B23" s="40" t="s">
        <v>19</v>
      </c>
      <c r="C23" s="43">
        <v>1</v>
      </c>
      <c r="D23" s="42"/>
      <c r="E23" s="35"/>
      <c r="F23" s="17">
        <v>7</v>
      </c>
      <c r="G23" s="8">
        <v>6</v>
      </c>
      <c r="H23" s="8">
        <v>7</v>
      </c>
      <c r="I23" s="8">
        <v>5</v>
      </c>
      <c r="J23" s="8">
        <v>6</v>
      </c>
      <c r="K23" s="8">
        <v>7</v>
      </c>
      <c r="L23" s="8">
        <v>7</v>
      </c>
      <c r="M23" s="8">
        <v>6</v>
      </c>
    </row>
    <row r="24" spans="1:13">
      <c r="A24" s="39">
        <v>21</v>
      </c>
      <c r="B24" s="40" t="s">
        <v>20</v>
      </c>
      <c r="C24" s="43">
        <v>1</v>
      </c>
      <c r="D24" s="42"/>
      <c r="E24" s="35"/>
      <c r="F24" s="17">
        <v>7</v>
      </c>
      <c r="G24" s="8">
        <v>7</v>
      </c>
      <c r="H24" s="8">
        <v>7</v>
      </c>
      <c r="I24" s="8">
        <v>6</v>
      </c>
      <c r="J24" s="8">
        <v>6</v>
      </c>
      <c r="K24" s="8">
        <v>7</v>
      </c>
      <c r="L24" s="8">
        <v>7</v>
      </c>
      <c r="M24" s="8">
        <v>6</v>
      </c>
    </row>
    <row r="25" spans="1:13">
      <c r="A25" s="47">
        <v>22</v>
      </c>
      <c r="B25" s="48" t="s">
        <v>21</v>
      </c>
      <c r="C25" s="47"/>
      <c r="D25" s="49">
        <v>1</v>
      </c>
      <c r="E25" s="50"/>
      <c r="F25" s="51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</row>
    <row r="26" spans="1:13">
      <c r="A26" s="39">
        <v>23</v>
      </c>
      <c r="B26" s="40" t="s">
        <v>22</v>
      </c>
      <c r="C26" s="43">
        <v>1</v>
      </c>
      <c r="D26" s="42"/>
      <c r="E26" s="35"/>
      <c r="F26" s="17">
        <v>7</v>
      </c>
      <c r="G26" s="8">
        <v>7</v>
      </c>
      <c r="H26" s="8">
        <v>7</v>
      </c>
      <c r="I26" s="8">
        <v>6</v>
      </c>
      <c r="J26" s="8">
        <v>6</v>
      </c>
      <c r="K26" s="8">
        <v>7</v>
      </c>
      <c r="L26" s="8">
        <v>7</v>
      </c>
      <c r="M26" s="8">
        <v>6</v>
      </c>
    </row>
    <row r="27" spans="1:13">
      <c r="A27" s="39">
        <v>24</v>
      </c>
      <c r="B27" s="40" t="s">
        <v>23</v>
      </c>
      <c r="C27" s="43">
        <v>1</v>
      </c>
      <c r="D27" s="42"/>
      <c r="E27" s="35"/>
      <c r="F27" s="17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  <c r="M27" s="8">
        <v>7</v>
      </c>
    </row>
    <row r="28" spans="1:13">
      <c r="A28" s="39">
        <v>25</v>
      </c>
      <c r="B28" s="40" t="s">
        <v>24</v>
      </c>
      <c r="C28" s="43">
        <v>1</v>
      </c>
      <c r="D28" s="42"/>
      <c r="E28" s="35"/>
      <c r="F28" s="17">
        <v>7</v>
      </c>
      <c r="G28" s="8">
        <v>7</v>
      </c>
      <c r="H28" s="8">
        <v>7</v>
      </c>
      <c r="I28" s="8">
        <v>7</v>
      </c>
      <c r="J28" s="8">
        <v>7</v>
      </c>
      <c r="K28" s="8">
        <v>7</v>
      </c>
      <c r="L28" s="8">
        <v>7</v>
      </c>
      <c r="M28" s="8">
        <v>7</v>
      </c>
    </row>
    <row r="29" spans="1:13">
      <c r="A29" s="39">
        <v>26</v>
      </c>
      <c r="B29" s="40" t="s">
        <v>25</v>
      </c>
      <c r="C29" s="43">
        <v>1</v>
      </c>
      <c r="D29" s="42"/>
      <c r="E29" s="35"/>
      <c r="F29" s="17">
        <v>7</v>
      </c>
      <c r="G29" s="8">
        <v>7</v>
      </c>
      <c r="H29" s="8">
        <v>7</v>
      </c>
      <c r="I29" s="8">
        <v>7</v>
      </c>
      <c r="J29" s="8">
        <v>7</v>
      </c>
      <c r="K29" s="8">
        <v>7</v>
      </c>
      <c r="L29" s="8">
        <v>7</v>
      </c>
      <c r="M29" s="8">
        <v>7</v>
      </c>
    </row>
    <row r="30" spans="1:13">
      <c r="A30" s="39">
        <v>27</v>
      </c>
      <c r="B30" s="40" t="s">
        <v>26</v>
      </c>
      <c r="C30" s="43">
        <v>1</v>
      </c>
      <c r="D30" s="42"/>
      <c r="E30" s="35"/>
      <c r="F30" s="17">
        <v>6</v>
      </c>
      <c r="G30" s="8">
        <v>6</v>
      </c>
      <c r="H30" s="8">
        <v>7</v>
      </c>
      <c r="I30" s="8">
        <v>6</v>
      </c>
      <c r="J30" s="8">
        <v>6</v>
      </c>
      <c r="K30" s="8">
        <v>7</v>
      </c>
      <c r="L30" s="8">
        <v>7</v>
      </c>
      <c r="M30" s="8">
        <v>6</v>
      </c>
    </row>
    <row r="31" spans="1:13">
      <c r="A31" s="39">
        <v>28</v>
      </c>
      <c r="B31" s="40" t="s">
        <v>27</v>
      </c>
      <c r="C31" s="43">
        <v>1</v>
      </c>
      <c r="D31" s="42"/>
      <c r="E31" s="35"/>
      <c r="F31" s="17">
        <v>7</v>
      </c>
      <c r="G31" s="17">
        <v>7</v>
      </c>
      <c r="H31" s="17">
        <v>7</v>
      </c>
      <c r="I31" s="17">
        <v>7</v>
      </c>
      <c r="J31" s="17">
        <v>7</v>
      </c>
      <c r="K31" s="17">
        <v>7</v>
      </c>
      <c r="L31" s="17">
        <v>7</v>
      </c>
      <c r="M31" s="17">
        <v>7</v>
      </c>
    </row>
    <row r="32" spans="1:13">
      <c r="A32" s="39">
        <v>29</v>
      </c>
      <c r="B32" s="40" t="s">
        <v>28</v>
      </c>
      <c r="C32" s="43">
        <v>1</v>
      </c>
      <c r="D32" s="42"/>
      <c r="E32" s="35"/>
      <c r="F32" s="17">
        <v>7</v>
      </c>
      <c r="G32" s="17">
        <v>7</v>
      </c>
      <c r="H32" s="17">
        <v>7</v>
      </c>
      <c r="I32" s="17">
        <v>7</v>
      </c>
      <c r="J32" s="17">
        <v>7</v>
      </c>
      <c r="K32" s="17">
        <v>7</v>
      </c>
      <c r="L32" s="17">
        <v>7</v>
      </c>
      <c r="M32" s="17">
        <v>7</v>
      </c>
    </row>
    <row r="33" spans="1:13">
      <c r="A33" s="39">
        <v>30</v>
      </c>
      <c r="B33" s="40" t="s">
        <v>29</v>
      </c>
      <c r="C33" s="43">
        <v>1</v>
      </c>
      <c r="D33" s="42"/>
      <c r="E33" s="35"/>
      <c r="F33" s="17">
        <v>6</v>
      </c>
      <c r="G33" s="8">
        <v>6</v>
      </c>
      <c r="H33" s="8">
        <v>7</v>
      </c>
      <c r="I33" s="8">
        <v>6</v>
      </c>
      <c r="J33" s="8">
        <v>6</v>
      </c>
      <c r="K33" s="8">
        <v>7</v>
      </c>
      <c r="L33" s="8">
        <v>7</v>
      </c>
      <c r="M33" s="8">
        <v>6</v>
      </c>
    </row>
    <row r="34" spans="1:13">
      <c r="A34" s="39">
        <v>31</v>
      </c>
      <c r="B34" s="40" t="s">
        <v>30</v>
      </c>
      <c r="C34" s="43">
        <v>1</v>
      </c>
      <c r="D34" s="42"/>
      <c r="E34" s="35"/>
      <c r="F34" s="17">
        <v>7</v>
      </c>
      <c r="G34" s="17">
        <v>7</v>
      </c>
      <c r="H34" s="17">
        <v>7</v>
      </c>
      <c r="I34" s="17">
        <v>7</v>
      </c>
      <c r="J34" s="17">
        <v>7</v>
      </c>
      <c r="K34" s="17">
        <v>7</v>
      </c>
      <c r="L34" s="17">
        <v>7</v>
      </c>
      <c r="M34" s="17">
        <v>7</v>
      </c>
    </row>
    <row r="35" spans="1:13">
      <c r="A35" s="47">
        <v>32</v>
      </c>
      <c r="B35" s="48" t="s">
        <v>31</v>
      </c>
      <c r="C35" s="47"/>
      <c r="D35" s="49">
        <v>1</v>
      </c>
      <c r="E35" s="50"/>
      <c r="F35" s="51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</row>
    <row r="36" spans="1:13">
      <c r="A36" s="39">
        <v>33</v>
      </c>
      <c r="B36" s="40" t="s">
        <v>32</v>
      </c>
      <c r="C36" s="43">
        <v>1</v>
      </c>
      <c r="D36" s="42"/>
      <c r="E36" s="35"/>
      <c r="F36" s="17">
        <v>6</v>
      </c>
      <c r="G36" s="8">
        <v>6</v>
      </c>
      <c r="H36" s="8">
        <v>7</v>
      </c>
      <c r="I36" s="8">
        <v>6</v>
      </c>
      <c r="J36" s="8">
        <v>6</v>
      </c>
      <c r="K36" s="8">
        <v>7</v>
      </c>
      <c r="L36" s="8">
        <v>7</v>
      </c>
      <c r="M36" s="8">
        <v>6</v>
      </c>
    </row>
    <row r="37" spans="1:13">
      <c r="A37" s="39">
        <v>34</v>
      </c>
      <c r="B37" s="40" t="s">
        <v>33</v>
      </c>
      <c r="C37" s="43">
        <v>1</v>
      </c>
      <c r="D37" s="42"/>
      <c r="E37" s="35"/>
      <c r="F37" s="17">
        <v>6</v>
      </c>
      <c r="G37" s="17">
        <v>6</v>
      </c>
      <c r="H37" s="17">
        <v>6</v>
      </c>
      <c r="I37" s="17">
        <v>6</v>
      </c>
      <c r="J37" s="17">
        <v>6</v>
      </c>
      <c r="K37" s="8">
        <v>7</v>
      </c>
      <c r="L37" s="8">
        <v>7</v>
      </c>
      <c r="M37" s="8">
        <v>7</v>
      </c>
    </row>
    <row r="38" spans="1:13">
      <c r="A38" s="39">
        <v>35</v>
      </c>
      <c r="B38" s="40" t="s">
        <v>34</v>
      </c>
      <c r="C38" s="43">
        <v>1</v>
      </c>
      <c r="D38" s="42"/>
      <c r="E38" s="35"/>
      <c r="F38" s="17">
        <v>7</v>
      </c>
      <c r="G38" s="17">
        <v>7</v>
      </c>
      <c r="H38" s="17">
        <v>7</v>
      </c>
      <c r="I38" s="17">
        <v>7</v>
      </c>
      <c r="J38" s="17">
        <v>7</v>
      </c>
      <c r="K38" s="8">
        <v>7</v>
      </c>
      <c r="L38" s="8">
        <v>7</v>
      </c>
      <c r="M38" s="8">
        <v>7</v>
      </c>
    </row>
    <row r="39" spans="1:13">
      <c r="A39" s="39">
        <v>36</v>
      </c>
      <c r="B39" s="40" t="s">
        <v>35</v>
      </c>
      <c r="C39" s="43">
        <v>1</v>
      </c>
      <c r="D39" s="42"/>
      <c r="E39" s="35"/>
      <c r="F39" s="17">
        <v>6</v>
      </c>
      <c r="G39" s="8">
        <v>6</v>
      </c>
      <c r="H39" s="8">
        <v>6</v>
      </c>
      <c r="I39" s="8">
        <v>5</v>
      </c>
      <c r="J39" s="8">
        <v>6</v>
      </c>
      <c r="K39" s="8">
        <v>7</v>
      </c>
      <c r="L39" s="8">
        <v>7</v>
      </c>
      <c r="M39" s="8">
        <v>6</v>
      </c>
    </row>
    <row r="40" spans="1:13">
      <c r="A40" s="39">
        <v>37</v>
      </c>
      <c r="B40" s="40" t="s">
        <v>36</v>
      </c>
      <c r="C40" s="43">
        <v>1</v>
      </c>
      <c r="D40" s="42"/>
      <c r="E40" s="35"/>
      <c r="F40" s="17">
        <v>7</v>
      </c>
      <c r="G40" s="8">
        <v>6</v>
      </c>
      <c r="H40" s="8">
        <v>6</v>
      </c>
      <c r="I40" s="8">
        <v>6</v>
      </c>
      <c r="J40" s="8">
        <v>6</v>
      </c>
      <c r="K40" s="8">
        <v>7</v>
      </c>
      <c r="L40" s="8">
        <v>7</v>
      </c>
      <c r="M40" s="8">
        <v>7</v>
      </c>
    </row>
    <row r="41" spans="1:13">
      <c r="A41" s="39">
        <v>38</v>
      </c>
      <c r="B41" s="40" t="s">
        <v>37</v>
      </c>
      <c r="C41" s="43">
        <v>1</v>
      </c>
      <c r="D41" s="42"/>
      <c r="E41" s="35"/>
      <c r="F41" s="17">
        <v>7</v>
      </c>
      <c r="G41" s="8">
        <v>7</v>
      </c>
      <c r="H41" s="8">
        <v>7</v>
      </c>
      <c r="I41" s="8">
        <v>6</v>
      </c>
      <c r="J41" s="8">
        <v>6</v>
      </c>
      <c r="K41" s="8">
        <v>7</v>
      </c>
      <c r="L41" s="8">
        <v>7</v>
      </c>
      <c r="M41" s="8">
        <v>7</v>
      </c>
    </row>
    <row r="42" spans="1:13">
      <c r="A42" s="39">
        <v>39</v>
      </c>
      <c r="B42" s="40" t="s">
        <v>38</v>
      </c>
      <c r="C42" s="43">
        <v>1</v>
      </c>
      <c r="D42" s="42"/>
      <c r="E42" s="35"/>
      <c r="F42" s="17">
        <v>7</v>
      </c>
      <c r="G42" s="17">
        <v>7</v>
      </c>
      <c r="H42" s="17">
        <v>7</v>
      </c>
      <c r="I42" s="17">
        <v>6</v>
      </c>
      <c r="J42" s="17">
        <v>7</v>
      </c>
      <c r="K42" s="8">
        <v>7</v>
      </c>
      <c r="L42" s="8">
        <v>7</v>
      </c>
      <c r="M42" s="8">
        <v>6</v>
      </c>
    </row>
    <row r="43" spans="1:13">
      <c r="A43" s="39">
        <v>40</v>
      </c>
      <c r="B43" s="40" t="s">
        <v>39</v>
      </c>
      <c r="C43" s="43">
        <v>1</v>
      </c>
      <c r="D43" s="42"/>
      <c r="E43" s="35"/>
      <c r="F43" s="17">
        <v>7</v>
      </c>
      <c r="G43" s="17">
        <v>7</v>
      </c>
      <c r="H43" s="17">
        <v>7</v>
      </c>
      <c r="I43" s="17">
        <v>7</v>
      </c>
      <c r="J43" s="17">
        <v>7</v>
      </c>
      <c r="K43" s="8">
        <v>7</v>
      </c>
      <c r="L43" s="8">
        <v>7</v>
      </c>
      <c r="M43" s="8">
        <v>7</v>
      </c>
    </row>
    <row r="44" spans="1:13">
      <c r="A44" s="39">
        <v>41</v>
      </c>
      <c r="B44" s="40" t="s">
        <v>40</v>
      </c>
      <c r="C44" s="43">
        <v>1</v>
      </c>
      <c r="D44" s="42"/>
      <c r="E44" s="35"/>
      <c r="F44" s="17">
        <v>7</v>
      </c>
      <c r="G44" s="17">
        <v>7</v>
      </c>
      <c r="H44" s="17">
        <v>7</v>
      </c>
      <c r="I44" s="17">
        <v>7</v>
      </c>
      <c r="J44" s="17">
        <v>7</v>
      </c>
      <c r="K44" s="8">
        <v>7</v>
      </c>
      <c r="L44" s="8">
        <v>7</v>
      </c>
      <c r="M44" s="8">
        <v>6</v>
      </c>
    </row>
    <row r="45" spans="1:13">
      <c r="A45" s="39">
        <v>42</v>
      </c>
      <c r="B45" s="40" t="s">
        <v>41</v>
      </c>
      <c r="C45" s="43">
        <v>1</v>
      </c>
      <c r="D45" s="42"/>
      <c r="E45" s="35"/>
      <c r="F45" s="17">
        <v>6</v>
      </c>
      <c r="G45" s="8">
        <v>6</v>
      </c>
      <c r="H45" s="8">
        <v>7</v>
      </c>
      <c r="I45" s="8">
        <v>6</v>
      </c>
      <c r="J45" s="8">
        <v>6</v>
      </c>
      <c r="K45" s="8">
        <v>7</v>
      </c>
      <c r="L45" s="8">
        <v>7</v>
      </c>
      <c r="M45" s="8">
        <v>6</v>
      </c>
    </row>
    <row r="46" spans="1:13">
      <c r="A46" s="39">
        <v>43</v>
      </c>
      <c r="B46" s="40" t="s">
        <v>42</v>
      </c>
      <c r="C46" s="43">
        <v>1</v>
      </c>
      <c r="D46" s="42"/>
      <c r="E46" s="35"/>
      <c r="F46" s="17">
        <v>7</v>
      </c>
      <c r="G46" s="17">
        <v>7</v>
      </c>
      <c r="H46" s="17">
        <v>7</v>
      </c>
      <c r="I46" s="17">
        <v>6</v>
      </c>
      <c r="J46" s="17">
        <v>7</v>
      </c>
      <c r="K46" s="17">
        <v>7</v>
      </c>
      <c r="L46" s="17">
        <v>7</v>
      </c>
      <c r="M46" s="17">
        <v>7</v>
      </c>
    </row>
    <row r="47" spans="1:13">
      <c r="A47" s="39">
        <v>44</v>
      </c>
      <c r="B47" s="40" t="s">
        <v>43</v>
      </c>
      <c r="C47" s="43">
        <v>1</v>
      </c>
      <c r="D47" s="42"/>
      <c r="E47" s="35"/>
      <c r="F47" s="17">
        <v>7</v>
      </c>
      <c r="G47" s="17">
        <v>7</v>
      </c>
      <c r="H47" s="17">
        <v>7</v>
      </c>
      <c r="I47" s="17">
        <v>7</v>
      </c>
      <c r="J47" s="17">
        <v>6</v>
      </c>
      <c r="K47" s="17">
        <v>7</v>
      </c>
      <c r="L47" s="17">
        <v>7</v>
      </c>
      <c r="M47" s="17">
        <v>7</v>
      </c>
    </row>
    <row r="48" spans="1:13">
      <c r="A48" s="39">
        <v>45</v>
      </c>
      <c r="B48" s="40" t="s">
        <v>44</v>
      </c>
      <c r="C48" s="43">
        <v>1</v>
      </c>
      <c r="D48" s="42"/>
      <c r="E48" s="35"/>
      <c r="F48" s="17">
        <v>7</v>
      </c>
      <c r="G48" s="17">
        <v>7</v>
      </c>
      <c r="H48" s="17">
        <v>7</v>
      </c>
      <c r="I48" s="17">
        <v>6</v>
      </c>
      <c r="J48" s="17">
        <v>7</v>
      </c>
      <c r="K48" s="17">
        <v>7</v>
      </c>
      <c r="L48" s="17">
        <v>7</v>
      </c>
      <c r="M48" s="17">
        <v>7</v>
      </c>
    </row>
    <row r="49" spans="1:14">
      <c r="A49" s="39">
        <v>46</v>
      </c>
      <c r="B49" s="40" t="s">
        <v>45</v>
      </c>
      <c r="C49" s="43">
        <v>1</v>
      </c>
      <c r="D49" s="42"/>
      <c r="E49" s="35"/>
      <c r="F49" s="17">
        <v>7</v>
      </c>
      <c r="G49" s="17">
        <v>7</v>
      </c>
      <c r="H49" s="17">
        <v>7</v>
      </c>
      <c r="I49" s="17">
        <v>7</v>
      </c>
      <c r="J49" s="17">
        <v>7</v>
      </c>
      <c r="K49" s="17">
        <v>7</v>
      </c>
      <c r="L49" s="17">
        <v>7</v>
      </c>
      <c r="M49" s="17">
        <v>7</v>
      </c>
    </row>
    <row r="50" spans="1:14">
      <c r="A50" s="47">
        <v>47</v>
      </c>
      <c r="B50" s="48" t="s">
        <v>46</v>
      </c>
      <c r="C50" s="47"/>
      <c r="D50" s="49">
        <v>1</v>
      </c>
      <c r="E50" s="50"/>
      <c r="F50" s="51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</row>
    <row r="51" spans="1:14">
      <c r="A51" s="39">
        <v>48</v>
      </c>
      <c r="B51" s="40" t="s">
        <v>47</v>
      </c>
      <c r="C51" s="43">
        <v>1</v>
      </c>
      <c r="D51" s="42"/>
      <c r="E51" s="35"/>
      <c r="F51" s="17">
        <v>7</v>
      </c>
      <c r="G51" s="8">
        <v>7</v>
      </c>
      <c r="H51" s="8">
        <v>7</v>
      </c>
      <c r="I51" s="8">
        <v>6</v>
      </c>
      <c r="J51" s="8">
        <v>7</v>
      </c>
      <c r="K51" s="8">
        <v>6</v>
      </c>
      <c r="L51" s="8">
        <v>6</v>
      </c>
      <c r="M51" s="8">
        <v>7</v>
      </c>
    </row>
    <row r="52" spans="1:14">
      <c r="A52" s="39">
        <v>49</v>
      </c>
      <c r="B52" s="40" t="s">
        <v>48</v>
      </c>
      <c r="C52" s="43">
        <v>1</v>
      </c>
      <c r="D52" s="42"/>
      <c r="E52" s="35"/>
      <c r="F52" s="17">
        <v>6</v>
      </c>
      <c r="G52" s="8">
        <v>6</v>
      </c>
      <c r="H52" s="8">
        <v>7</v>
      </c>
      <c r="I52" s="8">
        <v>6</v>
      </c>
      <c r="J52" s="8">
        <v>6</v>
      </c>
      <c r="K52" s="8">
        <v>7</v>
      </c>
      <c r="L52" s="8">
        <v>7</v>
      </c>
      <c r="M52" s="8">
        <v>6</v>
      </c>
    </row>
    <row r="53" spans="1:14">
      <c r="A53" s="47">
        <v>50</v>
      </c>
      <c r="B53" s="48" t="s">
        <v>49</v>
      </c>
      <c r="C53" s="47"/>
      <c r="D53" s="49">
        <v>1</v>
      </c>
      <c r="E53" s="50"/>
      <c r="F53" s="51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</row>
    <row r="54" spans="1:14">
      <c r="A54" s="29"/>
      <c r="B54" s="30"/>
      <c r="C54" s="31"/>
      <c r="D54" s="31"/>
      <c r="E54" s="31">
        <v>7</v>
      </c>
      <c r="F54" s="4">
        <v>30</v>
      </c>
      <c r="G54" s="4">
        <v>29</v>
      </c>
      <c r="H54" s="4">
        <v>35</v>
      </c>
      <c r="I54" s="4">
        <v>17</v>
      </c>
      <c r="J54" s="4">
        <v>20</v>
      </c>
      <c r="K54" s="4">
        <v>37</v>
      </c>
      <c r="L54" s="4">
        <v>37</v>
      </c>
      <c r="M54" s="4">
        <v>27</v>
      </c>
    </row>
    <row r="55" spans="1:14">
      <c r="A55" s="29"/>
      <c r="B55" s="30"/>
      <c r="C55" s="31"/>
      <c r="D55" s="31"/>
      <c r="E55" s="31">
        <v>6</v>
      </c>
      <c r="F55" s="4">
        <v>9</v>
      </c>
      <c r="G55" s="4">
        <v>10</v>
      </c>
      <c r="H55" s="4">
        <v>4</v>
      </c>
      <c r="I55" s="4">
        <v>20</v>
      </c>
      <c r="J55" s="4">
        <v>19</v>
      </c>
      <c r="K55" s="4">
        <v>2</v>
      </c>
      <c r="L55" s="4">
        <v>2</v>
      </c>
      <c r="M55" s="4">
        <v>12</v>
      </c>
    </row>
    <row r="56" spans="1:14">
      <c r="A56" s="29"/>
      <c r="B56" s="30"/>
      <c r="C56" s="31"/>
      <c r="D56" s="31"/>
      <c r="E56" s="31">
        <v>5</v>
      </c>
      <c r="I56" s="4">
        <v>2</v>
      </c>
    </row>
    <row r="57" spans="1:14">
      <c r="A57" s="29"/>
      <c r="B57" s="30"/>
      <c r="C57" s="31"/>
      <c r="D57" s="31"/>
      <c r="E57" s="31">
        <v>4</v>
      </c>
    </row>
    <row r="58" spans="1:14">
      <c r="A58" s="29"/>
      <c r="B58" s="30"/>
      <c r="C58" s="31"/>
      <c r="D58" s="31"/>
      <c r="E58" s="31">
        <v>3</v>
      </c>
    </row>
    <row r="59" spans="1:14">
      <c r="A59" s="29"/>
      <c r="B59" s="30"/>
      <c r="C59" s="31"/>
      <c r="D59" s="31"/>
      <c r="E59" s="31">
        <v>2</v>
      </c>
    </row>
    <row r="60" spans="1:14">
      <c r="A60" s="29"/>
      <c r="B60" s="30"/>
      <c r="C60" s="36"/>
      <c r="D60" s="36"/>
      <c r="E60" s="36">
        <v>1</v>
      </c>
      <c r="F60" s="37"/>
      <c r="G60" s="37"/>
      <c r="H60" s="37"/>
      <c r="I60" s="37"/>
      <c r="J60" s="37"/>
      <c r="K60" s="37"/>
      <c r="L60" s="37"/>
      <c r="M60" s="37"/>
    </row>
    <row r="61" spans="1:14">
      <c r="C61" s="1">
        <f>SUM(C4:C53)</f>
        <v>39</v>
      </c>
      <c r="D61" s="1">
        <f>SUM(D4:D53)</f>
        <v>11</v>
      </c>
      <c r="F61" s="4">
        <f>SUM(F54:F60)</f>
        <v>39</v>
      </c>
      <c r="G61" s="4">
        <f t="shared" ref="G61:M61" si="0">SUM(G54:G60)</f>
        <v>39</v>
      </c>
      <c r="H61" s="4">
        <f t="shared" si="0"/>
        <v>39</v>
      </c>
      <c r="I61" s="4">
        <f t="shared" si="0"/>
        <v>39</v>
      </c>
      <c r="J61" s="4">
        <f t="shared" si="0"/>
        <v>39</v>
      </c>
      <c r="K61" s="4">
        <f t="shared" si="0"/>
        <v>39</v>
      </c>
      <c r="L61" s="4">
        <f t="shared" si="0"/>
        <v>39</v>
      </c>
      <c r="M61" s="4">
        <f t="shared" si="0"/>
        <v>39</v>
      </c>
    </row>
    <row r="62" spans="1:14">
      <c r="C62" s="44">
        <f>+C61/50</f>
        <v>0.78</v>
      </c>
      <c r="D62" s="44">
        <f>+D61/50</f>
        <v>0.22</v>
      </c>
    </row>
    <row r="63" spans="1:14">
      <c r="B63" s="28" t="s">
        <v>59</v>
      </c>
      <c r="F63" s="4">
        <f>39*7</f>
        <v>273</v>
      </c>
      <c r="G63" s="4">
        <f t="shared" ref="G63:M63" si="1">39*7</f>
        <v>273</v>
      </c>
      <c r="H63" s="4">
        <f t="shared" si="1"/>
        <v>273</v>
      </c>
      <c r="I63" s="4">
        <f t="shared" si="1"/>
        <v>273</v>
      </c>
      <c r="J63" s="4">
        <f t="shared" si="1"/>
        <v>273</v>
      </c>
      <c r="K63" s="4">
        <f t="shared" si="1"/>
        <v>273</v>
      </c>
      <c r="L63" s="4">
        <f t="shared" si="1"/>
        <v>273</v>
      </c>
      <c r="M63" s="4">
        <f t="shared" si="1"/>
        <v>273</v>
      </c>
      <c r="N63" s="1">
        <f>SUM(F63:M63)</f>
        <v>2184</v>
      </c>
    </row>
    <row r="64" spans="1:14" ht="17" thickBot="1">
      <c r="B64" s="28" t="s">
        <v>60</v>
      </c>
      <c r="F64" s="4">
        <f t="shared" ref="F64:M64" si="2">SUM(F4:F53)</f>
        <v>264</v>
      </c>
      <c r="G64" s="4">
        <f t="shared" si="2"/>
        <v>263</v>
      </c>
      <c r="H64" s="4">
        <f t="shared" si="2"/>
        <v>269</v>
      </c>
      <c r="I64" s="4">
        <f t="shared" si="2"/>
        <v>249</v>
      </c>
      <c r="J64" s="4">
        <f t="shared" si="2"/>
        <v>254</v>
      </c>
      <c r="K64" s="4">
        <f t="shared" si="2"/>
        <v>271</v>
      </c>
      <c r="L64" s="4">
        <f t="shared" si="2"/>
        <v>271</v>
      </c>
      <c r="M64" s="4">
        <f t="shared" si="2"/>
        <v>261</v>
      </c>
      <c r="N64" s="1">
        <f>SUM(F64:M64)</f>
        <v>2102</v>
      </c>
    </row>
    <row r="65" spans="2:14" ht="22.5" customHeight="1" thickBot="1">
      <c r="F65" s="45">
        <f>+F64/F63</f>
        <v>0.96703296703296704</v>
      </c>
      <c r="G65" s="45">
        <f t="shared" ref="G65:N65" si="3">+G64/G63</f>
        <v>0.96336996336996339</v>
      </c>
      <c r="H65" s="45">
        <f t="shared" si="3"/>
        <v>0.9853479853479854</v>
      </c>
      <c r="I65" s="45">
        <f t="shared" si="3"/>
        <v>0.91208791208791207</v>
      </c>
      <c r="J65" s="45">
        <f t="shared" si="3"/>
        <v>0.93040293040293043</v>
      </c>
      <c r="K65" s="45">
        <f t="shared" si="3"/>
        <v>0.9926739926739927</v>
      </c>
      <c r="L65" s="45">
        <f t="shared" si="3"/>
        <v>0.9926739926739927</v>
      </c>
      <c r="M65" s="45">
        <f t="shared" si="3"/>
        <v>0.95604395604395609</v>
      </c>
      <c r="N65" s="46">
        <f t="shared" si="3"/>
        <v>0.96245421245421248</v>
      </c>
    </row>
    <row r="67" spans="2:14">
      <c r="B67" s="53" t="s">
        <v>65</v>
      </c>
    </row>
    <row r="68" spans="2:14">
      <c r="B68" s="54" t="s">
        <v>66</v>
      </c>
    </row>
    <row r="69" spans="2:14">
      <c r="B69" s="54" t="s">
        <v>67</v>
      </c>
    </row>
  </sheetData>
  <phoneticPr fontId="2" type="noConversion"/>
  <pageMargins left="0.75" right="0.18" top="0.78" bottom="0.37" header="0.5" footer="0.5"/>
  <pageSetup paperSize="9" scale="9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9"/>
  <sheetViews>
    <sheetView zoomScale="75" workbookViewId="0">
      <selection sqref="A1:IV65536"/>
    </sheetView>
  </sheetViews>
  <sheetFormatPr baseColWidth="10" defaultColWidth="9" defaultRowHeight="16"/>
  <cols>
    <col min="1" max="1" width="4.83203125" style="4" customWidth="1"/>
    <col min="2" max="2" width="24.5" style="1" customWidth="1"/>
    <col min="3" max="4" width="5.33203125" style="1" customWidth="1"/>
    <col min="5" max="5" width="4.33203125" style="1" customWidth="1"/>
    <col min="6" max="13" width="5.5" style="4" customWidth="1"/>
    <col min="14" max="14" width="5.5" style="1" customWidth="1"/>
    <col min="15" max="16384" width="9" style="1"/>
  </cols>
  <sheetData>
    <row r="1" spans="1:13" ht="18">
      <c r="A1" s="27" t="s">
        <v>58</v>
      </c>
    </row>
    <row r="2" spans="1:13">
      <c r="A2" s="5"/>
    </row>
    <row r="3" spans="1:13" ht="107.25" customHeight="1">
      <c r="A3" s="8"/>
      <c r="B3" s="9"/>
      <c r="C3" s="10"/>
      <c r="D3" s="19"/>
      <c r="E3" s="32"/>
      <c r="F3" s="16" t="s">
        <v>54</v>
      </c>
      <c r="G3" s="10" t="s">
        <v>50</v>
      </c>
      <c r="H3" s="10" t="s">
        <v>51</v>
      </c>
      <c r="I3" s="10" t="s">
        <v>52</v>
      </c>
      <c r="J3" s="10" t="s">
        <v>53</v>
      </c>
      <c r="K3" s="10" t="s">
        <v>56</v>
      </c>
      <c r="L3" s="10" t="s">
        <v>57</v>
      </c>
      <c r="M3" s="10" t="s">
        <v>55</v>
      </c>
    </row>
    <row r="4" spans="1:13">
      <c r="A4" s="6">
        <v>1</v>
      </c>
      <c r="B4" s="7" t="s">
        <v>0</v>
      </c>
      <c r="C4" s="6">
        <v>1</v>
      </c>
      <c r="D4" s="20"/>
      <c r="E4" s="33"/>
      <c r="F4" s="17">
        <v>7</v>
      </c>
      <c r="G4" s="8">
        <v>7</v>
      </c>
      <c r="H4" s="8">
        <v>7</v>
      </c>
      <c r="I4" s="8">
        <v>7</v>
      </c>
      <c r="J4" s="8">
        <v>6</v>
      </c>
      <c r="K4" s="8">
        <v>7</v>
      </c>
      <c r="L4" s="8">
        <v>7</v>
      </c>
      <c r="M4" s="8">
        <v>7</v>
      </c>
    </row>
    <row r="5" spans="1:13">
      <c r="A5" s="2">
        <v>2</v>
      </c>
      <c r="B5" s="3" t="s">
        <v>1</v>
      </c>
      <c r="C5" s="2">
        <v>1</v>
      </c>
      <c r="D5" s="21"/>
      <c r="E5" s="34"/>
      <c r="F5" s="17">
        <v>6</v>
      </c>
      <c r="G5" s="8">
        <v>6</v>
      </c>
      <c r="H5" s="8">
        <v>7</v>
      </c>
      <c r="I5" s="8">
        <v>7</v>
      </c>
      <c r="J5" s="8">
        <v>6</v>
      </c>
      <c r="K5" s="8">
        <v>7</v>
      </c>
      <c r="L5" s="8">
        <v>7</v>
      </c>
      <c r="M5" s="8">
        <v>7</v>
      </c>
    </row>
    <row r="6" spans="1:13">
      <c r="A6" s="2">
        <v>3</v>
      </c>
      <c r="B6" s="3" t="s">
        <v>2</v>
      </c>
      <c r="C6" s="6">
        <v>1</v>
      </c>
      <c r="D6" s="21"/>
      <c r="E6" s="34"/>
      <c r="F6" s="17">
        <v>7</v>
      </c>
      <c r="G6" s="8">
        <v>7</v>
      </c>
      <c r="H6" s="8">
        <v>7</v>
      </c>
      <c r="I6" s="8">
        <v>6</v>
      </c>
      <c r="J6" s="8">
        <v>7</v>
      </c>
      <c r="K6" s="8">
        <v>7</v>
      </c>
      <c r="L6" s="8">
        <v>7</v>
      </c>
      <c r="M6" s="8">
        <v>7</v>
      </c>
    </row>
    <row r="7" spans="1:13">
      <c r="A7" s="11">
        <v>4</v>
      </c>
      <c r="B7" s="12" t="s">
        <v>3</v>
      </c>
      <c r="C7" s="12"/>
      <c r="D7" s="23">
        <v>1</v>
      </c>
      <c r="E7" s="35"/>
      <c r="F7" s="18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</row>
    <row r="8" spans="1:13">
      <c r="A8" s="2">
        <v>5</v>
      </c>
      <c r="B8" s="3" t="s">
        <v>4</v>
      </c>
      <c r="C8" s="14">
        <v>1</v>
      </c>
      <c r="D8" s="22"/>
      <c r="E8" s="35"/>
      <c r="F8" s="17">
        <v>7</v>
      </c>
      <c r="G8" s="8">
        <v>7</v>
      </c>
      <c r="H8" s="8">
        <v>7</v>
      </c>
      <c r="I8" s="8">
        <v>6</v>
      </c>
      <c r="J8" s="8">
        <v>7</v>
      </c>
      <c r="K8" s="8">
        <v>7</v>
      </c>
      <c r="L8" s="8">
        <v>7</v>
      </c>
      <c r="M8" s="8">
        <v>7</v>
      </c>
    </row>
    <row r="9" spans="1:13">
      <c r="A9" s="11">
        <v>6</v>
      </c>
      <c r="B9" s="12" t="s">
        <v>5</v>
      </c>
      <c r="C9" s="15"/>
      <c r="D9" s="23">
        <v>1</v>
      </c>
      <c r="E9" s="35"/>
      <c r="F9" s="18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</row>
    <row r="10" spans="1:13">
      <c r="A10" s="2">
        <v>7</v>
      </c>
      <c r="B10" s="3" t="s">
        <v>6</v>
      </c>
      <c r="C10" s="14">
        <v>1</v>
      </c>
      <c r="D10" s="22"/>
      <c r="E10" s="35"/>
      <c r="F10" s="17">
        <v>7</v>
      </c>
      <c r="G10" s="8">
        <v>7</v>
      </c>
      <c r="H10" s="8">
        <v>7</v>
      </c>
      <c r="I10" s="8">
        <v>7</v>
      </c>
      <c r="J10" s="8">
        <v>6</v>
      </c>
      <c r="K10" s="8">
        <v>7</v>
      </c>
      <c r="L10" s="8">
        <v>7</v>
      </c>
      <c r="M10" s="8">
        <v>7</v>
      </c>
    </row>
    <row r="11" spans="1:13">
      <c r="A11" s="2">
        <v>8</v>
      </c>
      <c r="B11" s="3" t="s">
        <v>7</v>
      </c>
      <c r="C11" s="14">
        <v>1</v>
      </c>
      <c r="D11" s="22"/>
      <c r="E11" s="35"/>
      <c r="F11" s="17">
        <v>7</v>
      </c>
      <c r="G11" s="8">
        <v>7</v>
      </c>
      <c r="H11" s="8">
        <v>7</v>
      </c>
      <c r="I11" s="8">
        <v>7</v>
      </c>
      <c r="J11" s="8">
        <v>7</v>
      </c>
      <c r="K11" s="8">
        <v>7</v>
      </c>
      <c r="L11" s="8">
        <v>7</v>
      </c>
      <c r="M11" s="8">
        <v>7</v>
      </c>
    </row>
    <row r="12" spans="1:13">
      <c r="A12" s="2">
        <v>9</v>
      </c>
      <c r="B12" s="3" t="s">
        <v>8</v>
      </c>
      <c r="C12" s="14">
        <v>1</v>
      </c>
      <c r="D12" s="22"/>
      <c r="E12" s="35"/>
      <c r="F12" s="17">
        <v>7</v>
      </c>
      <c r="G12" s="8">
        <v>7</v>
      </c>
      <c r="H12" s="8">
        <v>7</v>
      </c>
      <c r="I12" s="8">
        <v>7</v>
      </c>
      <c r="J12" s="8">
        <v>7</v>
      </c>
      <c r="K12" s="8">
        <v>7</v>
      </c>
      <c r="L12" s="8">
        <v>7</v>
      </c>
      <c r="M12" s="8">
        <v>7</v>
      </c>
    </row>
    <row r="13" spans="1:13">
      <c r="A13" s="2">
        <v>10</v>
      </c>
      <c r="B13" s="3" t="s">
        <v>9</v>
      </c>
      <c r="C13" s="14">
        <v>1</v>
      </c>
      <c r="D13" s="22"/>
      <c r="E13" s="35"/>
      <c r="F13" s="17">
        <v>6</v>
      </c>
      <c r="G13" s="8">
        <v>6</v>
      </c>
      <c r="H13" s="8">
        <v>6</v>
      </c>
      <c r="I13" s="8">
        <v>5</v>
      </c>
      <c r="J13" s="8">
        <v>6</v>
      </c>
      <c r="K13" s="8">
        <v>6</v>
      </c>
      <c r="L13" s="8">
        <v>6</v>
      </c>
      <c r="M13" s="8">
        <v>6</v>
      </c>
    </row>
    <row r="14" spans="1:13">
      <c r="A14" s="11">
        <v>11</v>
      </c>
      <c r="B14" s="12" t="s">
        <v>10</v>
      </c>
      <c r="C14" s="15"/>
      <c r="D14" s="23">
        <v>1</v>
      </c>
      <c r="E14" s="35"/>
      <c r="F14" s="18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 spans="1:13">
      <c r="A15" s="2">
        <v>12</v>
      </c>
      <c r="B15" s="3" t="s">
        <v>11</v>
      </c>
      <c r="C15" s="14">
        <v>1</v>
      </c>
      <c r="D15" s="22"/>
      <c r="E15" s="35"/>
      <c r="F15" s="17">
        <v>6</v>
      </c>
      <c r="G15" s="8">
        <v>6</v>
      </c>
      <c r="H15" s="8">
        <v>6</v>
      </c>
      <c r="I15" s="8">
        <v>6</v>
      </c>
      <c r="J15" s="8">
        <v>6</v>
      </c>
      <c r="K15" s="8">
        <v>6</v>
      </c>
      <c r="L15" s="8">
        <v>6</v>
      </c>
      <c r="M15" s="8">
        <v>6</v>
      </c>
    </row>
    <row r="16" spans="1:13">
      <c r="A16" s="11">
        <v>13</v>
      </c>
      <c r="B16" s="12" t="s">
        <v>12</v>
      </c>
      <c r="C16" s="15"/>
      <c r="D16" s="23">
        <v>1</v>
      </c>
      <c r="E16" s="35"/>
      <c r="F16" s="18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 spans="1:13">
      <c r="A17" s="11">
        <v>14</v>
      </c>
      <c r="B17" s="12" t="s">
        <v>13</v>
      </c>
      <c r="C17" s="15"/>
      <c r="D17" s="23">
        <v>1</v>
      </c>
      <c r="E17" s="35"/>
      <c r="F17" s="18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</row>
    <row r="18" spans="1:13">
      <c r="A18" s="2">
        <v>15</v>
      </c>
      <c r="B18" s="3" t="s">
        <v>14</v>
      </c>
      <c r="C18" s="14">
        <v>1</v>
      </c>
      <c r="D18" s="22"/>
      <c r="E18" s="35"/>
      <c r="F18" s="17">
        <v>6</v>
      </c>
      <c r="G18" s="8">
        <v>7</v>
      </c>
      <c r="H18" s="8">
        <v>7</v>
      </c>
      <c r="I18" s="8">
        <v>6</v>
      </c>
      <c r="J18" s="8">
        <v>6</v>
      </c>
      <c r="K18" s="8">
        <v>7</v>
      </c>
      <c r="L18" s="8">
        <v>7</v>
      </c>
      <c r="M18" s="8">
        <v>7</v>
      </c>
    </row>
    <row r="19" spans="1:13">
      <c r="A19" s="2">
        <v>16</v>
      </c>
      <c r="B19" s="3" t="s">
        <v>15</v>
      </c>
      <c r="C19" s="14">
        <v>1</v>
      </c>
      <c r="D19" s="22"/>
      <c r="E19" s="35"/>
      <c r="F19" s="17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  <c r="M19" s="8">
        <v>7</v>
      </c>
    </row>
    <row r="20" spans="1:13">
      <c r="A20" s="2">
        <v>17</v>
      </c>
      <c r="B20" s="3" t="s">
        <v>16</v>
      </c>
      <c r="C20" s="14">
        <v>1</v>
      </c>
      <c r="D20" s="22"/>
      <c r="E20" s="35"/>
      <c r="F20" s="17">
        <v>7</v>
      </c>
      <c r="G20" s="8">
        <v>7</v>
      </c>
      <c r="H20" s="8">
        <v>7</v>
      </c>
      <c r="I20" s="8">
        <v>7</v>
      </c>
      <c r="J20" s="8">
        <v>6</v>
      </c>
      <c r="K20" s="8">
        <v>7</v>
      </c>
      <c r="L20" s="8">
        <v>7</v>
      </c>
      <c r="M20" s="8">
        <v>7</v>
      </c>
    </row>
    <row r="21" spans="1:13">
      <c r="A21" s="2">
        <v>18</v>
      </c>
      <c r="B21" s="3" t="s">
        <v>17</v>
      </c>
      <c r="C21" s="14">
        <v>1</v>
      </c>
      <c r="D21" s="22"/>
      <c r="E21" s="35"/>
      <c r="F21" s="17">
        <v>7</v>
      </c>
      <c r="G21" s="8">
        <v>7</v>
      </c>
      <c r="H21" s="8">
        <v>7</v>
      </c>
      <c r="I21" s="8">
        <v>6</v>
      </c>
      <c r="J21" s="8">
        <v>6</v>
      </c>
      <c r="K21" s="8">
        <v>7</v>
      </c>
      <c r="L21" s="8">
        <v>7</v>
      </c>
      <c r="M21" s="8">
        <v>7</v>
      </c>
    </row>
    <row r="22" spans="1:13">
      <c r="A22" s="2">
        <v>19</v>
      </c>
      <c r="B22" s="3" t="s">
        <v>18</v>
      </c>
      <c r="C22" s="14">
        <v>1</v>
      </c>
      <c r="D22" s="22"/>
      <c r="E22" s="35"/>
      <c r="F22" s="17">
        <v>7</v>
      </c>
      <c r="G22" s="8">
        <v>7</v>
      </c>
      <c r="H22" s="8">
        <v>7</v>
      </c>
      <c r="I22" s="8">
        <v>7</v>
      </c>
      <c r="J22" s="8">
        <v>6</v>
      </c>
      <c r="K22" s="8">
        <v>7</v>
      </c>
      <c r="L22" s="8">
        <v>7</v>
      </c>
      <c r="M22" s="8">
        <v>7</v>
      </c>
    </row>
    <row r="23" spans="1:13">
      <c r="A23" s="2">
        <v>20</v>
      </c>
      <c r="B23" s="3" t="s">
        <v>19</v>
      </c>
      <c r="C23" s="14">
        <v>1</v>
      </c>
      <c r="D23" s="22"/>
      <c r="E23" s="35"/>
      <c r="F23" s="17">
        <v>7</v>
      </c>
      <c r="G23" s="8">
        <v>6</v>
      </c>
      <c r="H23" s="8">
        <v>7</v>
      </c>
      <c r="I23" s="8">
        <v>5</v>
      </c>
      <c r="J23" s="8">
        <v>6</v>
      </c>
      <c r="K23" s="8">
        <v>7</v>
      </c>
      <c r="L23" s="8">
        <v>7</v>
      </c>
      <c r="M23" s="8">
        <v>6</v>
      </c>
    </row>
    <row r="24" spans="1:13">
      <c r="A24" s="2">
        <v>21</v>
      </c>
      <c r="B24" s="3" t="s">
        <v>20</v>
      </c>
      <c r="C24" s="14">
        <v>1</v>
      </c>
      <c r="D24" s="22"/>
      <c r="E24" s="35"/>
      <c r="F24" s="17">
        <v>7</v>
      </c>
      <c r="G24" s="8">
        <v>7</v>
      </c>
      <c r="H24" s="8">
        <v>7</v>
      </c>
      <c r="I24" s="8">
        <v>6</v>
      </c>
      <c r="J24" s="8">
        <v>6</v>
      </c>
      <c r="K24" s="8">
        <v>7</v>
      </c>
      <c r="L24" s="8">
        <v>7</v>
      </c>
      <c r="M24" s="8">
        <v>6</v>
      </c>
    </row>
    <row r="25" spans="1:13">
      <c r="A25" s="11">
        <v>22</v>
      </c>
      <c r="B25" s="12" t="s">
        <v>21</v>
      </c>
      <c r="C25" s="15"/>
      <c r="D25" s="23">
        <v>1</v>
      </c>
      <c r="E25" s="35"/>
      <c r="F25" s="18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</row>
    <row r="26" spans="1:13">
      <c r="A26" s="2">
        <v>23</v>
      </c>
      <c r="B26" s="3" t="s">
        <v>22</v>
      </c>
      <c r="C26" s="14">
        <v>1</v>
      </c>
      <c r="D26" s="22"/>
      <c r="E26" s="35"/>
      <c r="F26" s="17">
        <v>7</v>
      </c>
      <c r="G26" s="8">
        <v>7</v>
      </c>
      <c r="H26" s="8">
        <v>7</v>
      </c>
      <c r="I26" s="8">
        <v>6</v>
      </c>
      <c r="J26" s="8">
        <v>6</v>
      </c>
      <c r="K26" s="8">
        <v>7</v>
      </c>
      <c r="L26" s="8">
        <v>7</v>
      </c>
      <c r="M26" s="8">
        <v>6</v>
      </c>
    </row>
    <row r="27" spans="1:13">
      <c r="A27" s="2">
        <v>24</v>
      </c>
      <c r="B27" s="3" t="s">
        <v>23</v>
      </c>
      <c r="C27" s="14">
        <v>1</v>
      </c>
      <c r="D27" s="22"/>
      <c r="E27" s="35"/>
      <c r="F27" s="17">
        <v>7</v>
      </c>
      <c r="G27" s="8">
        <v>7</v>
      </c>
      <c r="H27" s="8">
        <v>7</v>
      </c>
      <c r="I27" s="8">
        <v>7</v>
      </c>
      <c r="J27" s="8">
        <v>7</v>
      </c>
      <c r="K27" s="8">
        <v>7</v>
      </c>
      <c r="L27" s="8">
        <v>7</v>
      </c>
      <c r="M27" s="8">
        <v>7</v>
      </c>
    </row>
    <row r="28" spans="1:13">
      <c r="A28" s="2">
        <v>25</v>
      </c>
      <c r="B28" s="3" t="s">
        <v>24</v>
      </c>
      <c r="C28" s="14">
        <v>1</v>
      </c>
      <c r="D28" s="22"/>
      <c r="E28" s="35"/>
      <c r="F28" s="17">
        <v>7</v>
      </c>
      <c r="G28" s="8">
        <v>7</v>
      </c>
      <c r="H28" s="8">
        <v>7</v>
      </c>
      <c r="I28" s="8">
        <v>7</v>
      </c>
      <c r="J28" s="8">
        <v>7</v>
      </c>
      <c r="K28" s="8">
        <v>7</v>
      </c>
      <c r="L28" s="8">
        <v>7</v>
      </c>
      <c r="M28" s="8">
        <v>7</v>
      </c>
    </row>
    <row r="29" spans="1:13">
      <c r="A29" s="2">
        <v>26</v>
      </c>
      <c r="B29" s="3" t="s">
        <v>25</v>
      </c>
      <c r="C29" s="14">
        <v>1</v>
      </c>
      <c r="D29" s="22"/>
      <c r="E29" s="35"/>
      <c r="F29" s="17">
        <v>7</v>
      </c>
      <c r="G29" s="8">
        <v>7</v>
      </c>
      <c r="H29" s="8">
        <v>7</v>
      </c>
      <c r="I29" s="8">
        <v>7</v>
      </c>
      <c r="J29" s="8">
        <v>7</v>
      </c>
      <c r="K29" s="8">
        <v>7</v>
      </c>
      <c r="L29" s="8">
        <v>7</v>
      </c>
      <c r="M29" s="8">
        <v>7</v>
      </c>
    </row>
    <row r="30" spans="1:13">
      <c r="A30" s="11">
        <v>27</v>
      </c>
      <c r="B30" s="12" t="s">
        <v>26</v>
      </c>
      <c r="C30" s="15"/>
      <c r="D30" s="23">
        <v>1</v>
      </c>
      <c r="E30" s="35"/>
      <c r="F30" s="18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 spans="1:13">
      <c r="A31" s="2">
        <v>28</v>
      </c>
      <c r="B31" s="3" t="s">
        <v>27</v>
      </c>
      <c r="C31" s="14">
        <v>1</v>
      </c>
      <c r="D31" s="22"/>
      <c r="E31" s="35"/>
      <c r="F31" s="17">
        <v>7</v>
      </c>
      <c r="G31" s="17">
        <v>7</v>
      </c>
      <c r="H31" s="17">
        <v>7</v>
      </c>
      <c r="I31" s="17">
        <v>7</v>
      </c>
      <c r="J31" s="17">
        <v>7</v>
      </c>
      <c r="K31" s="17">
        <v>7</v>
      </c>
      <c r="L31" s="17">
        <v>7</v>
      </c>
      <c r="M31" s="17">
        <v>7</v>
      </c>
    </row>
    <row r="32" spans="1:13">
      <c r="A32" s="2">
        <v>29</v>
      </c>
      <c r="B32" s="3" t="s">
        <v>28</v>
      </c>
      <c r="C32" s="14">
        <v>1</v>
      </c>
      <c r="D32" s="22"/>
      <c r="E32" s="35"/>
      <c r="F32" s="17">
        <v>7</v>
      </c>
      <c r="G32" s="17">
        <v>7</v>
      </c>
      <c r="H32" s="17">
        <v>7</v>
      </c>
      <c r="I32" s="17">
        <v>7</v>
      </c>
      <c r="J32" s="17">
        <v>7</v>
      </c>
      <c r="K32" s="17">
        <v>7</v>
      </c>
      <c r="L32" s="17">
        <v>7</v>
      </c>
      <c r="M32" s="17">
        <v>7</v>
      </c>
    </row>
    <row r="33" spans="1:13">
      <c r="A33" s="2">
        <v>30</v>
      </c>
      <c r="B33" s="3" t="s">
        <v>29</v>
      </c>
      <c r="C33" s="14">
        <v>1</v>
      </c>
      <c r="D33" s="22"/>
      <c r="E33" s="35"/>
      <c r="F33" s="17">
        <v>6</v>
      </c>
      <c r="G33" s="8">
        <v>6</v>
      </c>
      <c r="H33" s="8">
        <v>7</v>
      </c>
      <c r="I33" s="8">
        <v>6</v>
      </c>
      <c r="J33" s="8">
        <v>6</v>
      </c>
      <c r="K33" s="8">
        <v>7</v>
      </c>
      <c r="L33" s="8">
        <v>7</v>
      </c>
      <c r="M33" s="8">
        <v>6</v>
      </c>
    </row>
    <row r="34" spans="1:13">
      <c r="A34" s="2">
        <v>31</v>
      </c>
      <c r="B34" s="3" t="s">
        <v>30</v>
      </c>
      <c r="C34" s="14">
        <v>1</v>
      </c>
      <c r="D34" s="22"/>
      <c r="E34" s="35"/>
      <c r="F34" s="17">
        <v>7</v>
      </c>
      <c r="G34" s="17">
        <v>7</v>
      </c>
      <c r="H34" s="17">
        <v>7</v>
      </c>
      <c r="I34" s="17">
        <v>7</v>
      </c>
      <c r="J34" s="17">
        <v>7</v>
      </c>
      <c r="K34" s="17">
        <v>7</v>
      </c>
      <c r="L34" s="17">
        <v>7</v>
      </c>
      <c r="M34" s="17">
        <v>7</v>
      </c>
    </row>
    <row r="35" spans="1:13">
      <c r="A35" s="2">
        <v>32</v>
      </c>
      <c r="B35" s="3" t="s">
        <v>31</v>
      </c>
      <c r="C35" s="14">
        <v>1</v>
      </c>
      <c r="D35" s="22"/>
      <c r="E35" s="35"/>
      <c r="F35" s="17">
        <v>7</v>
      </c>
      <c r="G35" s="17">
        <v>7</v>
      </c>
      <c r="H35" s="17">
        <v>7</v>
      </c>
      <c r="I35" s="17">
        <v>7</v>
      </c>
      <c r="J35" s="17">
        <v>7</v>
      </c>
      <c r="K35" s="17">
        <v>7</v>
      </c>
      <c r="L35" s="17">
        <v>7</v>
      </c>
      <c r="M35" s="17">
        <v>7</v>
      </c>
    </row>
    <row r="36" spans="1:13">
      <c r="A36" s="11">
        <v>33</v>
      </c>
      <c r="B36" s="12" t="s">
        <v>32</v>
      </c>
      <c r="C36" s="15"/>
      <c r="D36" s="23">
        <v>1</v>
      </c>
      <c r="E36" s="35"/>
      <c r="F36" s="18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 spans="1:13">
      <c r="A37" s="2">
        <v>34</v>
      </c>
      <c r="B37" s="3" t="s">
        <v>33</v>
      </c>
      <c r="C37" s="14">
        <v>1</v>
      </c>
      <c r="D37" s="22"/>
      <c r="E37" s="35"/>
      <c r="F37" s="17">
        <v>6</v>
      </c>
      <c r="G37" s="17">
        <v>6</v>
      </c>
      <c r="H37" s="17">
        <v>6</v>
      </c>
      <c r="I37" s="17">
        <v>6</v>
      </c>
      <c r="J37" s="17">
        <v>6</v>
      </c>
      <c r="K37" s="8">
        <v>7</v>
      </c>
      <c r="L37" s="8">
        <v>7</v>
      </c>
      <c r="M37" s="8">
        <v>7</v>
      </c>
    </row>
    <row r="38" spans="1:13">
      <c r="A38" s="2">
        <v>35</v>
      </c>
      <c r="B38" s="3" t="s">
        <v>34</v>
      </c>
      <c r="C38" s="14">
        <v>1</v>
      </c>
      <c r="D38" s="22"/>
      <c r="E38" s="35"/>
      <c r="F38" s="17">
        <v>7</v>
      </c>
      <c r="G38" s="17">
        <v>7</v>
      </c>
      <c r="H38" s="17">
        <v>7</v>
      </c>
      <c r="I38" s="17">
        <v>7</v>
      </c>
      <c r="J38" s="17">
        <v>7</v>
      </c>
      <c r="K38" s="8">
        <v>7</v>
      </c>
      <c r="L38" s="8">
        <v>7</v>
      </c>
      <c r="M38" s="8">
        <v>7</v>
      </c>
    </row>
    <row r="39" spans="1:13">
      <c r="A39" s="2">
        <v>36</v>
      </c>
      <c r="B39" s="3" t="s">
        <v>35</v>
      </c>
      <c r="C39" s="14">
        <v>1</v>
      </c>
      <c r="D39" s="22"/>
      <c r="E39" s="35"/>
      <c r="F39" s="17">
        <v>6</v>
      </c>
      <c r="G39" s="8">
        <v>6</v>
      </c>
      <c r="H39" s="8">
        <v>6</v>
      </c>
      <c r="I39" s="8">
        <v>5</v>
      </c>
      <c r="J39" s="8">
        <v>6</v>
      </c>
      <c r="K39" s="8">
        <v>7</v>
      </c>
      <c r="L39" s="8">
        <v>7</v>
      </c>
      <c r="M39" s="8">
        <v>6</v>
      </c>
    </row>
    <row r="40" spans="1:13">
      <c r="A40" s="2">
        <v>37</v>
      </c>
      <c r="B40" s="3" t="s">
        <v>36</v>
      </c>
      <c r="C40" s="14">
        <v>1</v>
      </c>
      <c r="D40" s="22"/>
      <c r="E40" s="35"/>
      <c r="F40" s="17">
        <v>7</v>
      </c>
      <c r="G40" s="8">
        <v>6</v>
      </c>
      <c r="H40" s="8">
        <v>6</v>
      </c>
      <c r="I40" s="8">
        <v>6</v>
      </c>
      <c r="J40" s="8">
        <v>6</v>
      </c>
      <c r="K40" s="8">
        <v>7</v>
      </c>
      <c r="L40" s="8">
        <v>7</v>
      </c>
      <c r="M40" s="8">
        <v>7</v>
      </c>
    </row>
    <row r="41" spans="1:13">
      <c r="A41" s="2">
        <v>38</v>
      </c>
      <c r="B41" s="3" t="s">
        <v>37</v>
      </c>
      <c r="C41" s="14">
        <v>1</v>
      </c>
      <c r="D41" s="22"/>
      <c r="E41" s="35"/>
      <c r="F41" s="17">
        <v>7</v>
      </c>
      <c r="G41" s="8">
        <v>7</v>
      </c>
      <c r="H41" s="8">
        <v>7</v>
      </c>
      <c r="I41" s="8">
        <v>6</v>
      </c>
      <c r="J41" s="8">
        <v>6</v>
      </c>
      <c r="K41" s="8">
        <v>7</v>
      </c>
      <c r="L41" s="8">
        <v>7</v>
      </c>
      <c r="M41" s="8">
        <v>7</v>
      </c>
    </row>
    <row r="42" spans="1:13">
      <c r="A42" s="2">
        <v>39</v>
      </c>
      <c r="B42" s="3" t="s">
        <v>38</v>
      </c>
      <c r="C42" s="14">
        <v>1</v>
      </c>
      <c r="D42" s="22"/>
      <c r="E42" s="35"/>
      <c r="F42" s="17">
        <v>7</v>
      </c>
      <c r="G42" s="17">
        <v>7</v>
      </c>
      <c r="H42" s="17">
        <v>7</v>
      </c>
      <c r="I42" s="17">
        <v>6</v>
      </c>
      <c r="J42" s="17">
        <v>7</v>
      </c>
      <c r="K42" s="8">
        <v>7</v>
      </c>
      <c r="L42" s="8">
        <v>7</v>
      </c>
      <c r="M42" s="8">
        <v>6</v>
      </c>
    </row>
    <row r="43" spans="1:13">
      <c r="A43" s="2">
        <v>40</v>
      </c>
      <c r="B43" s="3" t="s">
        <v>39</v>
      </c>
      <c r="C43" s="14">
        <v>1</v>
      </c>
      <c r="D43" s="22"/>
      <c r="E43" s="35"/>
      <c r="F43" s="17">
        <v>7</v>
      </c>
      <c r="G43" s="17">
        <v>7</v>
      </c>
      <c r="H43" s="17">
        <v>7</v>
      </c>
      <c r="I43" s="17">
        <v>7</v>
      </c>
      <c r="J43" s="17">
        <v>7</v>
      </c>
      <c r="K43" s="8">
        <v>7</v>
      </c>
      <c r="L43" s="8">
        <v>7</v>
      </c>
      <c r="M43" s="8">
        <v>7</v>
      </c>
    </row>
    <row r="44" spans="1:13">
      <c r="A44" s="2">
        <v>41</v>
      </c>
      <c r="B44" s="3" t="s">
        <v>40</v>
      </c>
      <c r="C44" s="14">
        <v>1</v>
      </c>
      <c r="D44" s="22"/>
      <c r="E44" s="35"/>
      <c r="F44" s="17">
        <v>7</v>
      </c>
      <c r="G44" s="17">
        <v>7</v>
      </c>
      <c r="H44" s="17">
        <v>7</v>
      </c>
      <c r="I44" s="17">
        <v>7</v>
      </c>
      <c r="J44" s="17">
        <v>7</v>
      </c>
      <c r="K44" s="8">
        <v>7</v>
      </c>
      <c r="L44" s="8">
        <v>7</v>
      </c>
      <c r="M44" s="8">
        <v>6</v>
      </c>
    </row>
    <row r="45" spans="1:13">
      <c r="A45" s="11">
        <v>42</v>
      </c>
      <c r="B45" s="12" t="s">
        <v>41</v>
      </c>
      <c r="C45" s="15"/>
      <c r="D45" s="23">
        <v>1</v>
      </c>
      <c r="E45" s="35"/>
      <c r="F45" s="18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</row>
    <row r="46" spans="1:13">
      <c r="A46" s="2">
        <v>43</v>
      </c>
      <c r="B46" s="3" t="s">
        <v>42</v>
      </c>
      <c r="C46" s="14">
        <v>1</v>
      </c>
      <c r="D46" s="22"/>
      <c r="E46" s="35"/>
      <c r="F46" s="17">
        <v>7</v>
      </c>
      <c r="G46" s="17">
        <v>7</v>
      </c>
      <c r="H46" s="17">
        <v>7</v>
      </c>
      <c r="I46" s="17">
        <v>6</v>
      </c>
      <c r="J46" s="17">
        <v>7</v>
      </c>
      <c r="K46" s="17">
        <v>7</v>
      </c>
      <c r="L46" s="17">
        <v>7</v>
      </c>
      <c r="M46" s="17">
        <v>7</v>
      </c>
    </row>
    <row r="47" spans="1:13">
      <c r="A47" s="2">
        <v>44</v>
      </c>
      <c r="B47" s="3" t="s">
        <v>43</v>
      </c>
      <c r="C47" s="14">
        <v>1</v>
      </c>
      <c r="D47" s="22"/>
      <c r="E47" s="35"/>
      <c r="F47" s="17">
        <v>7</v>
      </c>
      <c r="G47" s="17">
        <v>7</v>
      </c>
      <c r="H47" s="17">
        <v>7</v>
      </c>
      <c r="I47" s="17">
        <v>7</v>
      </c>
      <c r="J47" s="17">
        <v>6</v>
      </c>
      <c r="K47" s="17">
        <v>7</v>
      </c>
      <c r="L47" s="17">
        <v>7</v>
      </c>
      <c r="M47" s="17">
        <v>7</v>
      </c>
    </row>
    <row r="48" spans="1:13">
      <c r="A48" s="2">
        <v>45</v>
      </c>
      <c r="B48" s="3" t="s">
        <v>44</v>
      </c>
      <c r="C48" s="14">
        <v>1</v>
      </c>
      <c r="D48" s="22"/>
      <c r="E48" s="35"/>
      <c r="F48" s="17">
        <v>7</v>
      </c>
      <c r="G48" s="17">
        <v>7</v>
      </c>
      <c r="H48" s="17">
        <v>7</v>
      </c>
      <c r="I48" s="17">
        <v>6</v>
      </c>
      <c r="J48" s="17">
        <v>7</v>
      </c>
      <c r="K48" s="17">
        <v>7</v>
      </c>
      <c r="L48" s="17">
        <v>7</v>
      </c>
      <c r="M48" s="17">
        <v>7</v>
      </c>
    </row>
    <row r="49" spans="1:14">
      <c r="A49" s="2">
        <v>46</v>
      </c>
      <c r="B49" s="3" t="s">
        <v>45</v>
      </c>
      <c r="C49" s="14">
        <v>1</v>
      </c>
      <c r="D49" s="22"/>
      <c r="E49" s="35"/>
      <c r="F49" s="17">
        <v>7</v>
      </c>
      <c r="G49" s="17">
        <v>7</v>
      </c>
      <c r="H49" s="17">
        <v>7</v>
      </c>
      <c r="I49" s="17">
        <v>7</v>
      </c>
      <c r="J49" s="17">
        <v>7</v>
      </c>
      <c r="K49" s="17">
        <v>7</v>
      </c>
      <c r="L49" s="17">
        <v>7</v>
      </c>
      <c r="M49" s="17">
        <v>7</v>
      </c>
    </row>
    <row r="50" spans="1:14">
      <c r="A50" s="11">
        <v>47</v>
      </c>
      <c r="B50" s="12" t="s">
        <v>46</v>
      </c>
      <c r="C50" s="15"/>
      <c r="D50" s="23">
        <v>1</v>
      </c>
      <c r="E50" s="35"/>
      <c r="F50" s="18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 spans="1:14">
      <c r="A51" s="2">
        <v>48</v>
      </c>
      <c r="B51" s="3" t="s">
        <v>47</v>
      </c>
      <c r="C51" s="14">
        <v>1</v>
      </c>
      <c r="D51" s="22"/>
      <c r="E51" s="35"/>
      <c r="F51" s="17">
        <v>7</v>
      </c>
      <c r="G51" s="8">
        <v>7</v>
      </c>
      <c r="H51" s="8">
        <v>7</v>
      </c>
      <c r="I51" s="8">
        <v>6</v>
      </c>
      <c r="J51" s="8">
        <v>7</v>
      </c>
      <c r="K51" s="8">
        <v>6</v>
      </c>
      <c r="L51" s="8">
        <v>6</v>
      </c>
      <c r="M51" s="8">
        <v>7</v>
      </c>
    </row>
    <row r="52" spans="1:14">
      <c r="A52" s="11">
        <v>49</v>
      </c>
      <c r="B52" s="12" t="s">
        <v>48</v>
      </c>
      <c r="C52" s="15"/>
      <c r="D52" s="23">
        <v>1</v>
      </c>
      <c r="E52" s="35"/>
      <c r="F52" s="18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 spans="1:14">
      <c r="A53" s="11">
        <v>50</v>
      </c>
      <c r="B53" s="12" t="s">
        <v>49</v>
      </c>
      <c r="C53" s="15"/>
      <c r="D53" s="23">
        <v>1</v>
      </c>
      <c r="E53" s="35"/>
      <c r="F53" s="18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</row>
    <row r="54" spans="1:14">
      <c r="A54" s="29"/>
      <c r="B54" s="30"/>
      <c r="C54" s="31"/>
      <c r="D54" s="31"/>
      <c r="E54" s="31">
        <v>7</v>
      </c>
      <c r="F54" s="4">
        <v>31</v>
      </c>
      <c r="G54" s="4">
        <v>30</v>
      </c>
      <c r="H54" s="4">
        <v>33</v>
      </c>
      <c r="I54" s="4">
        <v>20</v>
      </c>
      <c r="J54" s="4">
        <v>20</v>
      </c>
      <c r="K54" s="4">
        <v>35</v>
      </c>
      <c r="L54" s="4">
        <v>35</v>
      </c>
      <c r="M54" s="4">
        <v>29</v>
      </c>
    </row>
    <row r="55" spans="1:14">
      <c r="A55" s="29"/>
      <c r="B55" s="30"/>
      <c r="C55" s="31"/>
      <c r="D55" s="31"/>
      <c r="E55" s="31">
        <v>6</v>
      </c>
      <c r="F55" s="4">
        <v>7</v>
      </c>
      <c r="G55" s="4">
        <v>8</v>
      </c>
      <c r="H55" s="4">
        <v>5</v>
      </c>
      <c r="I55" s="4">
        <v>15</v>
      </c>
      <c r="J55" s="4">
        <v>18</v>
      </c>
      <c r="K55" s="4">
        <v>3</v>
      </c>
      <c r="L55" s="4">
        <v>3</v>
      </c>
      <c r="M55" s="4">
        <v>9</v>
      </c>
    </row>
    <row r="56" spans="1:14">
      <c r="A56" s="29"/>
      <c r="B56" s="30"/>
      <c r="C56" s="31"/>
      <c r="D56" s="31"/>
      <c r="E56" s="31">
        <v>5</v>
      </c>
      <c r="I56" s="4">
        <v>3</v>
      </c>
    </row>
    <row r="57" spans="1:14">
      <c r="A57" s="29"/>
      <c r="B57" s="30"/>
      <c r="C57" s="31"/>
      <c r="D57" s="31"/>
      <c r="E57" s="31">
        <v>4</v>
      </c>
    </row>
    <row r="58" spans="1:14">
      <c r="A58" s="29"/>
      <c r="B58" s="30"/>
      <c r="C58" s="31"/>
      <c r="D58" s="31"/>
      <c r="E58" s="31">
        <v>3</v>
      </c>
    </row>
    <row r="59" spans="1:14">
      <c r="A59" s="29"/>
      <c r="B59" s="30"/>
      <c r="C59" s="31"/>
      <c r="D59" s="31"/>
      <c r="E59" s="31">
        <v>2</v>
      </c>
    </row>
    <row r="60" spans="1:14">
      <c r="A60" s="29"/>
      <c r="B60" s="30"/>
      <c r="C60" s="36"/>
      <c r="D60" s="36"/>
      <c r="E60" s="36">
        <v>1</v>
      </c>
      <c r="F60" s="37"/>
      <c r="G60" s="37"/>
      <c r="H60" s="37"/>
      <c r="I60" s="37"/>
      <c r="J60" s="37"/>
      <c r="K60" s="37"/>
      <c r="L60" s="37"/>
      <c r="M60" s="37"/>
    </row>
    <row r="61" spans="1:14">
      <c r="C61" s="1">
        <f>SUM(C4:C53)</f>
        <v>38</v>
      </c>
      <c r="D61" s="1">
        <f>SUM(D4:D53)</f>
        <v>12</v>
      </c>
      <c r="F61" s="4">
        <f>SUM(F54:F60)</f>
        <v>38</v>
      </c>
      <c r="G61" s="4">
        <f t="shared" ref="G61:M61" si="0">SUM(G54:G60)</f>
        <v>38</v>
      </c>
      <c r="H61" s="4">
        <f t="shared" si="0"/>
        <v>38</v>
      </c>
      <c r="I61" s="4">
        <f t="shared" si="0"/>
        <v>38</v>
      </c>
      <c r="J61" s="4">
        <f t="shared" si="0"/>
        <v>38</v>
      </c>
      <c r="K61" s="4">
        <f t="shared" si="0"/>
        <v>38</v>
      </c>
      <c r="L61" s="4">
        <f t="shared" si="0"/>
        <v>38</v>
      </c>
      <c r="M61" s="4">
        <f t="shared" si="0"/>
        <v>38</v>
      </c>
    </row>
    <row r="62" spans="1:14">
      <c r="C62" s="25">
        <f>+C61/50</f>
        <v>0.76</v>
      </c>
      <c r="D62" s="25">
        <f>+D61/50</f>
        <v>0.24</v>
      </c>
    </row>
    <row r="63" spans="1:14">
      <c r="B63" s="28" t="s">
        <v>59</v>
      </c>
      <c r="F63" s="4">
        <f>38*7</f>
        <v>266</v>
      </c>
      <c r="G63" s="4">
        <f t="shared" ref="G63:M63" si="1">38*7</f>
        <v>266</v>
      </c>
      <c r="H63" s="4">
        <f t="shared" si="1"/>
        <v>266</v>
      </c>
      <c r="I63" s="4">
        <f t="shared" si="1"/>
        <v>266</v>
      </c>
      <c r="J63" s="4">
        <f t="shared" si="1"/>
        <v>266</v>
      </c>
      <c r="K63" s="4">
        <f t="shared" si="1"/>
        <v>266</v>
      </c>
      <c r="L63" s="4">
        <f t="shared" si="1"/>
        <v>266</v>
      </c>
      <c r="M63" s="4">
        <f t="shared" si="1"/>
        <v>266</v>
      </c>
      <c r="N63" s="1">
        <f>SUM(F63:M63)</f>
        <v>2128</v>
      </c>
    </row>
    <row r="64" spans="1:14" ht="17" thickBot="1">
      <c r="B64" s="28" t="s">
        <v>60</v>
      </c>
      <c r="F64" s="4">
        <f>SUM(F4:F53)</f>
        <v>259</v>
      </c>
      <c r="G64" s="4">
        <f t="shared" ref="G64:M64" si="2">SUM(G4:G53)</f>
        <v>258</v>
      </c>
      <c r="H64" s="4">
        <f t="shared" si="2"/>
        <v>261</v>
      </c>
      <c r="I64" s="4">
        <f t="shared" si="2"/>
        <v>245</v>
      </c>
      <c r="J64" s="4">
        <f t="shared" si="2"/>
        <v>248</v>
      </c>
      <c r="K64" s="4">
        <f t="shared" si="2"/>
        <v>263</v>
      </c>
      <c r="L64" s="4">
        <f t="shared" si="2"/>
        <v>263</v>
      </c>
      <c r="M64" s="4">
        <f t="shared" si="2"/>
        <v>257</v>
      </c>
      <c r="N64" s="1">
        <f>SUM(F64:M64)</f>
        <v>2054</v>
      </c>
    </row>
    <row r="65" spans="2:14" ht="22.5" customHeight="1" thickBot="1">
      <c r="F65" s="24">
        <f>+F64/F63</f>
        <v>0.97368421052631582</v>
      </c>
      <c r="G65" s="24">
        <f t="shared" ref="G65:N65" si="3">+G64/G63</f>
        <v>0.96992481203007519</v>
      </c>
      <c r="H65" s="24">
        <f t="shared" si="3"/>
        <v>0.98120300751879697</v>
      </c>
      <c r="I65" s="24">
        <f t="shared" si="3"/>
        <v>0.92105263157894735</v>
      </c>
      <c r="J65" s="24">
        <f t="shared" si="3"/>
        <v>0.93233082706766912</v>
      </c>
      <c r="K65" s="24">
        <f t="shared" si="3"/>
        <v>0.98872180451127822</v>
      </c>
      <c r="L65" s="24">
        <f t="shared" si="3"/>
        <v>0.98872180451127822</v>
      </c>
      <c r="M65" s="24">
        <f t="shared" si="3"/>
        <v>0.96616541353383456</v>
      </c>
      <c r="N65" s="26">
        <f t="shared" si="3"/>
        <v>0.96522556390977443</v>
      </c>
    </row>
    <row r="67" spans="2:14">
      <c r="B67" s="5" t="s">
        <v>63</v>
      </c>
    </row>
    <row r="68" spans="2:14">
      <c r="B68" s="1" t="s">
        <v>61</v>
      </c>
    </row>
    <row r="69" spans="2:14">
      <c r="B69" s="1" t="s">
        <v>62</v>
      </c>
    </row>
  </sheetData>
  <phoneticPr fontId="2" type="noConversion"/>
  <pageMargins left="0.44" right="0.34" top="0.72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具名範圍</vt:lpstr>
      </vt:variant>
      <vt:variant>
        <vt:i4>14</vt:i4>
      </vt:variant>
    </vt:vector>
  </HeadingPairs>
  <TitlesOfParts>
    <vt:vector size="31" baseType="lpstr">
      <vt:lpstr>9-2025</vt:lpstr>
      <vt:lpstr>9-2024</vt:lpstr>
      <vt:lpstr>8-2023</vt:lpstr>
      <vt:lpstr>7-2022</vt:lpstr>
      <vt:lpstr>Blank</vt:lpstr>
      <vt:lpstr>7-2021</vt:lpstr>
      <vt:lpstr>7-2019</vt:lpstr>
      <vt:lpstr>7-2018</vt:lpstr>
      <vt:lpstr>7-2016</vt:lpstr>
      <vt:lpstr>7-2015</vt:lpstr>
      <vt:lpstr>7-2014</vt:lpstr>
      <vt:lpstr>7-2013</vt:lpstr>
      <vt:lpstr>7-2012</vt:lpstr>
      <vt:lpstr>7-2011</vt:lpstr>
      <vt:lpstr>7-2009</vt:lpstr>
      <vt:lpstr>7-2006</vt:lpstr>
      <vt:lpstr>7-2005</vt:lpstr>
      <vt:lpstr>'7-2005'!Print_Titles</vt:lpstr>
      <vt:lpstr>'7-2006'!Print_Titles</vt:lpstr>
      <vt:lpstr>'7-2009'!Print_Titles</vt:lpstr>
      <vt:lpstr>'7-2011'!Print_Titles</vt:lpstr>
      <vt:lpstr>'7-2012'!Print_Titles</vt:lpstr>
      <vt:lpstr>'7-2013'!Print_Titles</vt:lpstr>
      <vt:lpstr>'7-2014'!Print_Titles</vt:lpstr>
      <vt:lpstr>'7-2015'!Print_Titles</vt:lpstr>
      <vt:lpstr>'7-2016'!Print_Titles</vt:lpstr>
      <vt:lpstr>'7-2018'!Print_Titles</vt:lpstr>
      <vt:lpstr>'7-2019'!Print_Titles</vt:lpstr>
      <vt:lpstr>'7-2021'!Print_Titles</vt:lpstr>
      <vt:lpstr>'7-2022'!Print_Titles</vt:lpstr>
      <vt:lpstr>Blank!Print_Titles</vt:lpstr>
    </vt:vector>
  </TitlesOfParts>
  <Company>Kirii (Hong Kong)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hiroki sakon</cp:lastModifiedBy>
  <cp:lastPrinted>2024-11-08T04:43:44Z</cp:lastPrinted>
  <dcterms:created xsi:type="dcterms:W3CDTF">2005-07-27T05:13:26Z</dcterms:created>
  <dcterms:modified xsi:type="dcterms:W3CDTF">2025-11-18T08:25:39Z</dcterms:modified>
</cp:coreProperties>
</file>